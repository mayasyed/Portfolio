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an\Downloads\"/>
    </mc:Choice>
  </mc:AlternateContent>
  <xr:revisionPtr revIDLastSave="0" documentId="13_ncr:1_{A80C0A54-22BB-4ABB-B904-7802CD163B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_Raw_Data" sheetId="1" r:id="rId1"/>
    <sheet name="2_Cleaned_Data" sheetId="2" r:id="rId2"/>
    <sheet name="3_Reconciliation" sheetId="3" r:id="rId3"/>
    <sheet name="4_Summary_Dashboard" sheetId="4" r:id="rId4"/>
    <sheet name="5_Escalation_Log" sheetId="5" r:id="rId5"/>
    <sheet name="FX_Rates" sheetId="6" r:id="rId6"/>
    <sheet name="LookupSheet" sheetId="7" r:id="rId7"/>
  </sheets>
  <definedNames>
    <definedName name="_xlnm._FilterDatabase" localSheetId="2" hidden="1">'3_Reconciliation'!$A$1:$I$101</definedName>
  </definedNames>
  <calcPr calcId="191029"/>
</workbook>
</file>

<file path=xl/calcChain.xml><?xml version="1.0" encoding="utf-8"?>
<calcChain xmlns="http://schemas.openxmlformats.org/spreadsheetml/2006/main">
  <c r="C40" i="4" l="1"/>
  <c r="B40" i="4"/>
  <c r="D40" i="4" s="1"/>
  <c r="E40" i="4" s="1"/>
  <c r="C39" i="4"/>
  <c r="B39" i="4"/>
  <c r="D39" i="4" s="1"/>
  <c r="E39" i="4" s="1"/>
  <c r="C38" i="4"/>
  <c r="B38" i="4"/>
  <c r="D38" i="4" s="1"/>
  <c r="E38" i="4" s="1"/>
  <c r="C37" i="4"/>
  <c r="B37" i="4"/>
  <c r="D37" i="4" s="1"/>
  <c r="E37" i="4" s="1"/>
  <c r="C36" i="4"/>
  <c r="B36" i="4"/>
  <c r="D36" i="4" s="1"/>
  <c r="E36" i="4" s="1"/>
  <c r="C35" i="4"/>
  <c r="B35" i="4"/>
  <c r="D35" i="4" s="1"/>
  <c r="E35" i="4" s="1"/>
  <c r="C32" i="4"/>
  <c r="B32" i="4"/>
  <c r="D32" i="4" s="1"/>
  <c r="E32" i="4" s="1"/>
  <c r="C31" i="4"/>
  <c r="B31" i="4"/>
  <c r="D31" i="4" s="1"/>
  <c r="E31" i="4" s="1"/>
  <c r="C30" i="4"/>
  <c r="B30" i="4"/>
  <c r="D30" i="4" s="1"/>
  <c r="E30" i="4" s="1"/>
  <c r="C29" i="4"/>
  <c r="B29" i="4"/>
  <c r="D29" i="4" s="1"/>
  <c r="E29" i="4" s="1"/>
  <c r="C28" i="4"/>
  <c r="B28" i="4"/>
  <c r="D28" i="4" s="1"/>
  <c r="E28" i="4" s="1"/>
  <c r="C27" i="4"/>
  <c r="B27" i="4"/>
  <c r="D27" i="4" s="1"/>
  <c r="E27" i="4" s="1"/>
  <c r="C26" i="4"/>
  <c r="B26" i="4"/>
  <c r="D26" i="4" s="1"/>
  <c r="E26" i="4" s="1"/>
  <c r="C25" i="4"/>
  <c r="B25" i="4"/>
  <c r="D25" i="4" s="1"/>
  <c r="E25" i="4" s="1"/>
  <c r="C24" i="4"/>
  <c r="B24" i="4"/>
  <c r="D24" i="4" s="1"/>
  <c r="E24" i="4" s="1"/>
  <c r="C23" i="4"/>
  <c r="B23" i="4"/>
  <c r="D23" i="4" s="1"/>
  <c r="E23" i="4" s="1"/>
  <c r="C13" i="4"/>
  <c r="D12" i="4"/>
  <c r="E12" i="4" s="1"/>
  <c r="C12" i="4"/>
  <c r="B12" i="4"/>
  <c r="C11" i="4"/>
  <c r="D11" i="4" s="1"/>
  <c r="E11" i="4" s="1"/>
  <c r="B11" i="4"/>
  <c r="D10" i="4"/>
  <c r="E10" i="4" s="1"/>
  <c r="C10" i="4"/>
  <c r="B10" i="4"/>
  <c r="D9" i="4"/>
  <c r="E9" i="4" s="1"/>
  <c r="C9" i="4"/>
  <c r="B9" i="4"/>
  <c r="D8" i="4"/>
  <c r="E8" i="4" s="1"/>
  <c r="C8" i="4"/>
  <c r="B8" i="4"/>
  <c r="C7" i="4"/>
  <c r="D7" i="4" s="1"/>
  <c r="E7" i="4" s="1"/>
  <c r="B7" i="4"/>
  <c r="C6" i="4"/>
  <c r="D6" i="4" s="1"/>
  <c r="E6" i="4" s="1"/>
  <c r="B6" i="4"/>
  <c r="D5" i="4"/>
  <c r="C5" i="4"/>
  <c r="B5" i="4"/>
  <c r="B13" i="4" s="1"/>
  <c r="H101" i="3"/>
  <c r="I101" i="3" s="1"/>
  <c r="G101" i="3"/>
  <c r="I100" i="3"/>
  <c r="H100" i="3"/>
  <c r="G100" i="3"/>
  <c r="H99" i="3"/>
  <c r="I99" i="3" s="1"/>
  <c r="G99" i="3"/>
  <c r="I98" i="3"/>
  <c r="H98" i="3"/>
  <c r="G98" i="3"/>
  <c r="H97" i="3"/>
  <c r="I97" i="3" s="1"/>
  <c r="G97" i="3"/>
  <c r="H96" i="3"/>
  <c r="I96" i="3" s="1"/>
  <c r="G96" i="3"/>
  <c r="I95" i="3"/>
  <c r="H95" i="3"/>
  <c r="G95" i="3"/>
  <c r="H94" i="3"/>
  <c r="I94" i="3" s="1"/>
  <c r="G94" i="3"/>
  <c r="I93" i="3"/>
  <c r="H93" i="3"/>
  <c r="G93" i="3"/>
  <c r="I92" i="3"/>
  <c r="H92" i="3"/>
  <c r="G92" i="3"/>
  <c r="I91" i="3"/>
  <c r="H91" i="3"/>
  <c r="G91" i="3"/>
  <c r="H90" i="3"/>
  <c r="I90" i="3" s="1"/>
  <c r="G90" i="3"/>
  <c r="H89" i="3"/>
  <c r="I89" i="3" s="1"/>
  <c r="G89" i="3"/>
  <c r="I88" i="3"/>
  <c r="H88" i="3"/>
  <c r="G88" i="3"/>
  <c r="H87" i="3"/>
  <c r="I87" i="3" s="1"/>
  <c r="G87" i="3"/>
  <c r="H86" i="3"/>
  <c r="I86" i="3" s="1"/>
  <c r="G86" i="3"/>
  <c r="H85" i="3"/>
  <c r="I85" i="3" s="1"/>
  <c r="G85" i="3"/>
  <c r="I84" i="3"/>
  <c r="H84" i="3"/>
  <c r="G84" i="3"/>
  <c r="H83" i="3"/>
  <c r="I83" i="3" s="1"/>
  <c r="G83" i="3"/>
  <c r="I82" i="3"/>
  <c r="H82" i="3"/>
  <c r="G82" i="3"/>
  <c r="H81" i="3"/>
  <c r="I81" i="3" s="1"/>
  <c r="G81" i="3"/>
  <c r="H80" i="3"/>
  <c r="I80" i="3" s="1"/>
  <c r="G80" i="3"/>
  <c r="I79" i="3"/>
  <c r="H79" i="3"/>
  <c r="G79" i="3"/>
  <c r="H78" i="3"/>
  <c r="I78" i="3" s="1"/>
  <c r="G78" i="3"/>
  <c r="I77" i="3"/>
  <c r="H77" i="3"/>
  <c r="G77" i="3"/>
  <c r="I76" i="3"/>
  <c r="H76" i="3"/>
  <c r="G76" i="3"/>
  <c r="H75" i="3"/>
  <c r="I75" i="3" s="1"/>
  <c r="G75" i="3"/>
  <c r="H74" i="3"/>
  <c r="I74" i="3" s="1"/>
  <c r="G74" i="3"/>
  <c r="H73" i="3"/>
  <c r="I73" i="3" s="1"/>
  <c r="G73" i="3"/>
  <c r="I72" i="3"/>
  <c r="H72" i="3"/>
  <c r="G72" i="3"/>
  <c r="H71" i="3"/>
  <c r="I71" i="3" s="1"/>
  <c r="G71" i="3"/>
  <c r="I70" i="3"/>
  <c r="H70" i="3"/>
  <c r="G70" i="3"/>
  <c r="I69" i="3"/>
  <c r="H69" i="3"/>
  <c r="G69" i="3"/>
  <c r="I68" i="3"/>
  <c r="H68" i="3"/>
  <c r="G68" i="3"/>
  <c r="H67" i="3"/>
  <c r="I67" i="3" s="1"/>
  <c r="G67" i="3"/>
  <c r="I66" i="3"/>
  <c r="H66" i="3"/>
  <c r="G66" i="3"/>
  <c r="H65" i="3"/>
  <c r="I65" i="3" s="1"/>
  <c r="G65" i="3"/>
  <c r="H64" i="3"/>
  <c r="I64" i="3" s="1"/>
  <c r="G64" i="3"/>
  <c r="I63" i="3"/>
  <c r="H63" i="3"/>
  <c r="G63" i="3"/>
  <c r="H62" i="3"/>
  <c r="I62" i="3" s="1"/>
  <c r="G62" i="3"/>
  <c r="I61" i="3"/>
  <c r="H61" i="3"/>
  <c r="G61" i="3"/>
  <c r="I60" i="3"/>
  <c r="H60" i="3"/>
  <c r="G60" i="3"/>
  <c r="I59" i="3"/>
  <c r="H59" i="3"/>
  <c r="G59" i="3"/>
  <c r="H58" i="3"/>
  <c r="I58" i="3" s="1"/>
  <c r="G58" i="3"/>
  <c r="H56" i="3"/>
  <c r="I56" i="3" s="1"/>
  <c r="G56" i="3"/>
  <c r="I55" i="3"/>
  <c r="H55" i="3"/>
  <c r="G55" i="3"/>
  <c r="H54" i="3"/>
  <c r="I54" i="3" s="1"/>
  <c r="G54" i="3"/>
  <c r="I53" i="3"/>
  <c r="H53" i="3"/>
  <c r="G53" i="3"/>
  <c r="H52" i="3"/>
  <c r="I52" i="3" s="1"/>
  <c r="G52" i="3"/>
  <c r="I51" i="3"/>
  <c r="H51" i="3"/>
  <c r="G51" i="3"/>
  <c r="H50" i="3"/>
  <c r="I50" i="3" s="1"/>
  <c r="G50" i="3"/>
  <c r="I49" i="3"/>
  <c r="H49" i="3"/>
  <c r="G49" i="3"/>
  <c r="H48" i="3"/>
  <c r="I48" i="3" s="1"/>
  <c r="G48" i="3"/>
  <c r="H47" i="3"/>
  <c r="I47" i="3" s="1"/>
  <c r="G47" i="3"/>
  <c r="H46" i="3"/>
  <c r="I46" i="3" s="1"/>
  <c r="G46" i="3"/>
  <c r="H45" i="3"/>
  <c r="I45" i="3" s="1"/>
  <c r="G45" i="3"/>
  <c r="I44" i="3"/>
  <c r="H44" i="3"/>
  <c r="G44" i="3"/>
  <c r="I43" i="3"/>
  <c r="H43" i="3"/>
  <c r="G43" i="3"/>
  <c r="I42" i="3"/>
  <c r="H42" i="3"/>
  <c r="G42" i="3"/>
  <c r="H41" i="3"/>
  <c r="I41" i="3" s="1"/>
  <c r="G41" i="3"/>
  <c r="H40" i="3"/>
  <c r="I40" i="3" s="1"/>
  <c r="G40" i="3"/>
  <c r="I39" i="3"/>
  <c r="H39" i="3"/>
  <c r="G39" i="3"/>
  <c r="H38" i="3"/>
  <c r="I38" i="3" s="1"/>
  <c r="G38" i="3"/>
  <c r="I37" i="3"/>
  <c r="H37" i="3"/>
  <c r="G37" i="3"/>
  <c r="H36" i="3"/>
  <c r="I36" i="3" s="1"/>
  <c r="G36" i="3"/>
  <c r="I34" i="3"/>
  <c r="H34" i="3"/>
  <c r="G34" i="3"/>
  <c r="H33" i="3"/>
  <c r="I33" i="3" s="1"/>
  <c r="G33" i="3"/>
  <c r="I32" i="3"/>
  <c r="H32" i="3"/>
  <c r="G32" i="3"/>
  <c r="H31" i="3"/>
  <c r="I31" i="3" s="1"/>
  <c r="G31" i="3"/>
  <c r="H30" i="3"/>
  <c r="I30" i="3" s="1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H24" i="3"/>
  <c r="I24" i="3" s="1"/>
  <c r="G24" i="3"/>
  <c r="H23" i="3"/>
  <c r="I23" i="3" s="1"/>
  <c r="G23" i="3"/>
  <c r="I22" i="3"/>
  <c r="H22" i="3"/>
  <c r="G22" i="3"/>
  <c r="H21" i="3"/>
  <c r="I21" i="3" s="1"/>
  <c r="G21" i="3"/>
  <c r="H20" i="3"/>
  <c r="I20" i="3" s="1"/>
  <c r="G20" i="3"/>
  <c r="H19" i="3"/>
  <c r="I19" i="3" s="1"/>
  <c r="G19" i="3"/>
  <c r="I18" i="3"/>
  <c r="H18" i="3"/>
  <c r="G18" i="3"/>
  <c r="H17" i="3"/>
  <c r="I17" i="3" s="1"/>
  <c r="G17" i="3"/>
  <c r="I16" i="3"/>
  <c r="H16" i="3"/>
  <c r="G16" i="3"/>
  <c r="H15" i="3"/>
  <c r="I15" i="3" s="1"/>
  <c r="G15" i="3"/>
  <c r="H14" i="3"/>
  <c r="I14" i="3" s="1"/>
  <c r="G14" i="3"/>
  <c r="I12" i="3"/>
  <c r="H12" i="3"/>
  <c r="G12" i="3"/>
  <c r="H11" i="3"/>
  <c r="I11" i="3" s="1"/>
  <c r="G11" i="3"/>
  <c r="I10" i="3"/>
  <c r="H10" i="3"/>
  <c r="G10" i="3"/>
  <c r="I9" i="3"/>
  <c r="H9" i="3"/>
  <c r="G9" i="3"/>
  <c r="H8" i="3"/>
  <c r="I8" i="3" s="1"/>
  <c r="G8" i="3"/>
  <c r="H7" i="3"/>
  <c r="I7" i="3" s="1"/>
  <c r="G7" i="3"/>
  <c r="H6" i="3"/>
  <c r="I6" i="3" s="1"/>
  <c r="G6" i="3"/>
  <c r="H5" i="3"/>
  <c r="I5" i="3" s="1"/>
  <c r="G5" i="3"/>
  <c r="H4" i="3"/>
  <c r="I4" i="3" s="1"/>
  <c r="G4" i="3"/>
  <c r="I3" i="3"/>
  <c r="H3" i="3"/>
  <c r="G3" i="3"/>
  <c r="H2" i="3"/>
  <c r="I2" i="3" s="1"/>
  <c r="G2" i="3"/>
  <c r="F59" i="2"/>
  <c r="F52" i="2"/>
  <c r="F36" i="2"/>
  <c r="F13" i="2"/>
  <c r="L103" i="1"/>
  <c r="L102" i="1"/>
  <c r="M102" i="1" s="1"/>
  <c r="L101" i="1"/>
  <c r="L100" i="1"/>
  <c r="M100" i="1" s="1"/>
  <c r="L99" i="1"/>
  <c r="L98" i="1"/>
  <c r="M98" i="1" s="1"/>
  <c r="L97" i="1"/>
  <c r="L96" i="1"/>
  <c r="M96" i="1" s="1"/>
  <c r="L95" i="1"/>
  <c r="L94" i="1"/>
  <c r="M94" i="1" s="1"/>
  <c r="L93" i="1"/>
  <c r="L92" i="1"/>
  <c r="L91" i="1"/>
  <c r="L90" i="1"/>
  <c r="M90" i="1" s="1"/>
  <c r="L89" i="1"/>
  <c r="L88" i="1"/>
  <c r="L87" i="1"/>
  <c r="L86" i="1"/>
  <c r="M86" i="1" s="1"/>
  <c r="L85" i="1"/>
  <c r="L84" i="1"/>
  <c r="M84" i="1" s="1"/>
  <c r="L83" i="1"/>
  <c r="L82" i="1"/>
  <c r="M82" i="1" s="1"/>
  <c r="L81" i="1"/>
  <c r="L80" i="1"/>
  <c r="M80" i="1" s="1"/>
  <c r="L79" i="1"/>
  <c r="L78" i="1"/>
  <c r="M78" i="1" s="1"/>
  <c r="L77" i="1"/>
  <c r="L76" i="1"/>
  <c r="L75" i="1"/>
  <c r="L74" i="1"/>
  <c r="M74" i="1" s="1"/>
  <c r="L73" i="1"/>
  <c r="L72" i="1"/>
  <c r="L71" i="1"/>
  <c r="L70" i="1"/>
  <c r="M70" i="1" s="1"/>
  <c r="L69" i="1"/>
  <c r="L68" i="1"/>
  <c r="M68" i="1" s="1"/>
  <c r="L67" i="1"/>
  <c r="L66" i="1"/>
  <c r="M66" i="1" s="1"/>
  <c r="L65" i="1"/>
  <c r="L64" i="1"/>
  <c r="L63" i="1"/>
  <c r="L62" i="1"/>
  <c r="M62" i="1" s="1"/>
  <c r="L61" i="1"/>
  <c r="L60" i="1"/>
  <c r="L59" i="1"/>
  <c r="L58" i="1"/>
  <c r="M58" i="1" s="1"/>
  <c r="L57" i="1"/>
  <c r="L56" i="1"/>
  <c r="L55" i="1"/>
  <c r="L54" i="1"/>
  <c r="L53" i="1"/>
  <c r="L52" i="1"/>
  <c r="M52" i="1" s="1"/>
  <c r="L51" i="1"/>
  <c r="M51" i="1" s="1"/>
  <c r="L50" i="1"/>
  <c r="M50" i="1" s="1"/>
  <c r="L49" i="1"/>
  <c r="L48" i="1"/>
  <c r="M48" i="1" s="1"/>
  <c r="L47" i="1"/>
  <c r="L46" i="1"/>
  <c r="L45" i="1"/>
  <c r="L44" i="1"/>
  <c r="M44" i="1" s="1"/>
  <c r="L43" i="1"/>
  <c r="M43" i="1" s="1"/>
  <c r="L42" i="1"/>
  <c r="M42" i="1" s="1"/>
  <c r="L41" i="1"/>
  <c r="L40" i="1"/>
  <c r="L39" i="1"/>
  <c r="M39" i="1" s="1"/>
  <c r="L38" i="1"/>
  <c r="L37" i="1"/>
  <c r="L36" i="1"/>
  <c r="M36" i="1" s="1"/>
  <c r="L35" i="1"/>
  <c r="M35" i="1" s="1"/>
  <c r="L34" i="1"/>
  <c r="M34" i="1" s="1"/>
  <c r="L33" i="1"/>
  <c r="L32" i="1"/>
  <c r="L31" i="1"/>
  <c r="L30" i="1"/>
  <c r="M30" i="1" s="1"/>
  <c r="L29" i="1"/>
  <c r="L28" i="1"/>
  <c r="M28" i="1" s="1"/>
  <c r="L27" i="1"/>
  <c r="M27" i="1" s="1"/>
  <c r="L26" i="1"/>
  <c r="M26" i="1" s="1"/>
  <c r="L25" i="1"/>
  <c r="L24" i="1"/>
  <c r="L23" i="1"/>
  <c r="L22" i="1"/>
  <c r="L21" i="1"/>
  <c r="L20" i="1"/>
  <c r="M20" i="1" s="1"/>
  <c r="L19" i="1"/>
  <c r="M19" i="1" s="1"/>
  <c r="L18" i="1"/>
  <c r="M18" i="1" s="1"/>
  <c r="L17" i="1"/>
  <c r="L16" i="1"/>
  <c r="M16" i="1" s="1"/>
  <c r="L15" i="1"/>
  <c r="L14" i="1"/>
  <c r="L13" i="1"/>
  <c r="L12" i="1"/>
  <c r="M12" i="1" s="1"/>
  <c r="L11" i="1"/>
  <c r="M11" i="1" s="1"/>
  <c r="L10" i="1"/>
  <c r="M10" i="1" s="1"/>
  <c r="L9" i="1"/>
  <c r="L8" i="1"/>
  <c r="L7" i="1"/>
  <c r="M7" i="1" s="1"/>
  <c r="M6" i="1"/>
  <c r="L6" i="1"/>
  <c r="L5" i="1"/>
  <c r="L4" i="1"/>
  <c r="M4" i="1" s="1"/>
  <c r="L3" i="1"/>
  <c r="M3" i="1" s="1"/>
  <c r="L2" i="1"/>
  <c r="M32" i="1" s="1"/>
  <c r="M56" i="1" l="1"/>
  <c r="M21" i="1"/>
  <c r="M53" i="1"/>
  <c r="M63" i="1"/>
  <c r="M79" i="1"/>
  <c r="M95" i="1"/>
  <c r="M83" i="1"/>
  <c r="M17" i="1"/>
  <c r="M49" i="1"/>
  <c r="M69" i="1"/>
  <c r="M85" i="1"/>
  <c r="M101" i="1"/>
  <c r="M38" i="1"/>
  <c r="M99" i="1"/>
  <c r="M89" i="1"/>
  <c r="M13" i="1"/>
  <c r="M45" i="1"/>
  <c r="M54" i="1"/>
  <c r="M59" i="1"/>
  <c r="M64" i="1"/>
  <c r="M75" i="1"/>
  <c r="M91" i="1"/>
  <c r="M29" i="1"/>
  <c r="M8" i="1"/>
  <c r="M22" i="1"/>
  <c r="M31" i="1"/>
  <c r="M40" i="1"/>
  <c r="M9" i="1"/>
  <c r="M41" i="1"/>
  <c r="M65" i="1"/>
  <c r="M81" i="1"/>
  <c r="M97" i="1"/>
  <c r="M15" i="1"/>
  <c r="M24" i="1"/>
  <c r="M47" i="1"/>
  <c r="M67" i="1"/>
  <c r="M72" i="1"/>
  <c r="M88" i="1"/>
  <c r="M25" i="1"/>
  <c r="M73" i="1"/>
  <c r="M5" i="1"/>
  <c r="M23" i="1"/>
  <c r="M37" i="1"/>
  <c r="M46" i="1"/>
  <c r="M55" i="1"/>
  <c r="M60" i="1"/>
  <c r="M71" i="1"/>
  <c r="M76" i="1"/>
  <c r="M87" i="1"/>
  <c r="M92" i="1"/>
  <c r="M103" i="1"/>
  <c r="M2" i="1"/>
  <c r="M57" i="1"/>
  <c r="M14" i="1"/>
  <c r="M33" i="1"/>
  <c r="M61" i="1"/>
  <c r="M77" i="1"/>
  <c r="M93" i="1"/>
  <c r="E5" i="4"/>
  <c r="D13" i="4"/>
  <c r="B19" i="4"/>
  <c r="B17" i="4"/>
  <c r="C17" i="4" s="1"/>
  <c r="B18" i="4"/>
  <c r="C18" i="4" l="1"/>
  <c r="C19" i="4"/>
  <c r="A101" i="2"/>
  <c r="A98" i="2"/>
  <c r="A85" i="2"/>
  <c r="A82" i="2"/>
  <c r="A69" i="2"/>
  <c r="A66" i="2"/>
  <c r="A97" i="2"/>
  <c r="A94" i="2"/>
  <c r="A81" i="2"/>
  <c r="A78" i="2"/>
  <c r="A65" i="2"/>
  <c r="A62" i="2"/>
  <c r="A60" i="2"/>
  <c r="A58" i="2"/>
  <c r="A56" i="2"/>
  <c r="A54" i="2"/>
  <c r="A52" i="2"/>
  <c r="A50" i="2"/>
  <c r="A89" i="2"/>
  <c r="A86" i="2"/>
  <c r="A73" i="2"/>
  <c r="A70" i="2"/>
  <c r="A61" i="2"/>
  <c r="A59" i="2"/>
  <c r="A57" i="2"/>
  <c r="A93" i="2"/>
  <c r="A76" i="2"/>
  <c r="A71" i="2"/>
  <c r="A100" i="2"/>
  <c r="A83" i="2"/>
  <c r="A72" i="2"/>
  <c r="A48" i="2"/>
  <c r="A46" i="2"/>
  <c r="A44" i="2"/>
  <c r="A42" i="2"/>
  <c r="A40" i="2"/>
  <c r="A95" i="2"/>
  <c r="A84" i="2"/>
  <c r="A67" i="2"/>
  <c r="A53" i="2"/>
  <c r="A90" i="2"/>
  <c r="A79" i="2"/>
  <c r="A68" i="2"/>
  <c r="A96" i="2"/>
  <c r="A91" i="2"/>
  <c r="A74" i="2"/>
  <c r="A63" i="2"/>
  <c r="A80" i="2"/>
  <c r="A75" i="2"/>
  <c r="A47" i="2"/>
  <c r="A45" i="2"/>
  <c r="A43" i="2"/>
  <c r="A41" i="2"/>
  <c r="A36" i="2"/>
  <c r="A35" i="2"/>
  <c r="A31" i="2"/>
  <c r="A28" i="2"/>
  <c r="A99" i="2"/>
  <c r="A64" i="2"/>
  <c r="A34" i="2"/>
  <c r="A27" i="2"/>
  <c r="A88" i="2"/>
  <c r="A33" i="2"/>
  <c r="A30" i="2"/>
  <c r="A24" i="2"/>
  <c r="A22" i="2"/>
  <c r="A20" i="2"/>
  <c r="A18" i="2"/>
  <c r="A16" i="2"/>
  <c r="A14" i="2"/>
  <c r="A92" i="2"/>
  <c r="A87" i="2"/>
  <c r="A39" i="2"/>
  <c r="A77" i="2"/>
  <c r="A51" i="2"/>
  <c r="A29" i="2"/>
  <c r="A26" i="2"/>
  <c r="A49" i="2"/>
  <c r="A32" i="2"/>
  <c r="A10" i="2"/>
  <c r="A6" i="2"/>
  <c r="A2" i="2"/>
  <c r="A5" i="2"/>
  <c r="A55" i="2"/>
  <c r="A38" i="2"/>
  <c r="A23" i="2"/>
  <c r="A15" i="2"/>
  <c r="A13" i="2"/>
  <c r="A21" i="2"/>
  <c r="A11" i="2"/>
  <c r="A7" i="2"/>
  <c r="A3" i="2"/>
  <c r="A9" i="2"/>
  <c r="A37" i="2"/>
  <c r="A25" i="2"/>
  <c r="A17" i="2"/>
  <c r="A8" i="2"/>
  <c r="A4" i="2"/>
  <c r="A19" i="2"/>
  <c r="A12" i="2"/>
  <c r="D20" i="2" l="1"/>
  <c r="C20" i="2"/>
  <c r="J20" i="2"/>
  <c r="B20" i="2"/>
  <c r="I20" i="2"/>
  <c r="H20" i="2"/>
  <c r="G20" i="2"/>
  <c r="L20" i="2" s="1"/>
  <c r="C65" i="2"/>
  <c r="D65" i="2"/>
  <c r="J65" i="2"/>
  <c r="I65" i="2"/>
  <c r="H65" i="2"/>
  <c r="G65" i="2"/>
  <c r="B65" i="2"/>
  <c r="H21" i="2"/>
  <c r="G21" i="2"/>
  <c r="L21" i="2" s="1"/>
  <c r="D21" i="2"/>
  <c r="C21" i="2"/>
  <c r="B21" i="2"/>
  <c r="J21" i="2"/>
  <c r="I21" i="2"/>
  <c r="D37" i="2"/>
  <c r="C37" i="2"/>
  <c r="I37" i="2"/>
  <c r="H37" i="2"/>
  <c r="G37" i="2"/>
  <c r="L37" i="2" s="1"/>
  <c r="B37" i="2"/>
  <c r="J37" i="2"/>
  <c r="H23" i="2"/>
  <c r="G23" i="2"/>
  <c r="L23" i="2" s="1"/>
  <c r="D23" i="2"/>
  <c r="C23" i="2"/>
  <c r="B23" i="2"/>
  <c r="J23" i="2"/>
  <c r="I23" i="2"/>
  <c r="G49" i="2"/>
  <c r="H49" i="2"/>
  <c r="C49" i="2"/>
  <c r="J49" i="2"/>
  <c r="I49" i="2"/>
  <c r="D49" i="2"/>
  <c r="B49" i="2"/>
  <c r="D14" i="2"/>
  <c r="C14" i="2"/>
  <c r="J14" i="2"/>
  <c r="B14" i="2"/>
  <c r="I14" i="2"/>
  <c r="H14" i="2"/>
  <c r="G14" i="2"/>
  <c r="L14" i="2" s="1"/>
  <c r="G88" i="2"/>
  <c r="B88" i="2"/>
  <c r="I88" i="2"/>
  <c r="D88" i="2"/>
  <c r="C88" i="2"/>
  <c r="J88" i="2"/>
  <c r="H88" i="2"/>
  <c r="H36" i="2"/>
  <c r="G36" i="2"/>
  <c r="L36" i="2" s="1"/>
  <c r="E36" i="2" s="1"/>
  <c r="J36" i="2"/>
  <c r="I36" i="2"/>
  <c r="D36" i="2"/>
  <c r="B36" i="2"/>
  <c r="K36" i="2" s="1"/>
  <c r="C36" i="2"/>
  <c r="G74" i="2"/>
  <c r="L74" i="2" s="1"/>
  <c r="C74" i="2"/>
  <c r="H74" i="2"/>
  <c r="J74" i="2"/>
  <c r="D74" i="2"/>
  <c r="B74" i="2"/>
  <c r="I74" i="2"/>
  <c r="G84" i="2"/>
  <c r="L84" i="2" s="1"/>
  <c r="D84" i="2"/>
  <c r="B84" i="2"/>
  <c r="H84" i="2"/>
  <c r="C84" i="2"/>
  <c r="J84" i="2"/>
  <c r="I84" i="2"/>
  <c r="C83" i="2"/>
  <c r="G83" i="2"/>
  <c r="I83" i="2"/>
  <c r="D83" i="2"/>
  <c r="J83" i="2"/>
  <c r="H83" i="2"/>
  <c r="B83" i="2"/>
  <c r="G70" i="2"/>
  <c r="H70" i="2"/>
  <c r="J70" i="2"/>
  <c r="I70" i="2"/>
  <c r="D70" i="2"/>
  <c r="C70" i="2"/>
  <c r="B70" i="2"/>
  <c r="C58" i="2"/>
  <c r="I58" i="2"/>
  <c r="D58" i="2"/>
  <c r="J58" i="2"/>
  <c r="H58" i="2"/>
  <c r="G58" i="2"/>
  <c r="L58" i="2" s="1"/>
  <c r="B58" i="2"/>
  <c r="G66" i="2"/>
  <c r="L66" i="2" s="1"/>
  <c r="J66" i="2"/>
  <c r="H66" i="2"/>
  <c r="C66" i="2"/>
  <c r="D66" i="2"/>
  <c r="I66" i="2"/>
  <c r="B66" i="2"/>
  <c r="H7" i="2"/>
  <c r="G7" i="2"/>
  <c r="L7" i="2" s="1"/>
  <c r="D7" i="2"/>
  <c r="C7" i="2"/>
  <c r="B7" i="2"/>
  <c r="I7" i="2"/>
  <c r="J7" i="2"/>
  <c r="D45" i="2"/>
  <c r="C45" i="2"/>
  <c r="I45" i="2"/>
  <c r="J45" i="2"/>
  <c r="H45" i="2"/>
  <c r="G45" i="2"/>
  <c r="L45" i="2" s="1"/>
  <c r="B45" i="2"/>
  <c r="H9" i="2"/>
  <c r="G9" i="2"/>
  <c r="D9" i="2"/>
  <c r="C9" i="2"/>
  <c r="J9" i="2"/>
  <c r="I9" i="2"/>
  <c r="B9" i="2"/>
  <c r="H38" i="2"/>
  <c r="G38" i="2"/>
  <c r="L38" i="2" s="1"/>
  <c r="I38" i="2"/>
  <c r="D38" i="2"/>
  <c r="C38" i="2"/>
  <c r="B38" i="2"/>
  <c r="J38" i="2"/>
  <c r="H26" i="2"/>
  <c r="D26" i="2"/>
  <c r="C26" i="2"/>
  <c r="B26" i="2"/>
  <c r="J26" i="2"/>
  <c r="I26" i="2"/>
  <c r="G26" i="2"/>
  <c r="L26" i="2" s="1"/>
  <c r="D16" i="2"/>
  <c r="C16" i="2"/>
  <c r="J16" i="2"/>
  <c r="B16" i="2"/>
  <c r="I16" i="2"/>
  <c r="H16" i="2"/>
  <c r="G16" i="2"/>
  <c r="L16" i="2" s="1"/>
  <c r="D27" i="2"/>
  <c r="C27" i="2"/>
  <c r="B27" i="2"/>
  <c r="J27" i="2"/>
  <c r="I27" i="2"/>
  <c r="H27" i="2"/>
  <c r="G27" i="2"/>
  <c r="D41" i="2"/>
  <c r="C41" i="2"/>
  <c r="I41" i="2"/>
  <c r="J41" i="2"/>
  <c r="H41" i="2"/>
  <c r="G41" i="2"/>
  <c r="L41" i="2" s="1"/>
  <c r="B41" i="2"/>
  <c r="C91" i="2"/>
  <c r="B91" i="2"/>
  <c r="I91" i="2"/>
  <c r="J91" i="2"/>
  <c r="G91" i="2"/>
  <c r="L91" i="2" s="1"/>
  <c r="D91" i="2"/>
  <c r="H91" i="2"/>
  <c r="C95" i="2"/>
  <c r="I95" i="2"/>
  <c r="G95" i="2"/>
  <c r="L95" i="2" s="1"/>
  <c r="B95" i="2"/>
  <c r="D95" i="2"/>
  <c r="J95" i="2"/>
  <c r="H95" i="2"/>
  <c r="G100" i="2"/>
  <c r="L100" i="2" s="1"/>
  <c r="D100" i="2"/>
  <c r="B100" i="2"/>
  <c r="J100" i="2"/>
  <c r="I100" i="2"/>
  <c r="H100" i="2"/>
  <c r="C100" i="2"/>
  <c r="C73" i="2"/>
  <c r="H73" i="2"/>
  <c r="J73" i="2"/>
  <c r="G73" i="2"/>
  <c r="D73" i="2"/>
  <c r="B73" i="2"/>
  <c r="I73" i="2"/>
  <c r="C60" i="2"/>
  <c r="I60" i="2"/>
  <c r="B60" i="2"/>
  <c r="J60" i="2"/>
  <c r="H60" i="2"/>
  <c r="G60" i="2"/>
  <c r="L60" i="2" s="1"/>
  <c r="D60" i="2"/>
  <c r="C69" i="2"/>
  <c r="J69" i="2"/>
  <c r="H69" i="2"/>
  <c r="D69" i="2"/>
  <c r="G69" i="2"/>
  <c r="B69" i="2"/>
  <c r="I69" i="2"/>
  <c r="G64" i="2"/>
  <c r="D64" i="2"/>
  <c r="I64" i="2"/>
  <c r="J64" i="2"/>
  <c r="H64" i="2"/>
  <c r="C64" i="2"/>
  <c r="B64" i="2"/>
  <c r="D12" i="2"/>
  <c r="C12" i="2"/>
  <c r="J12" i="2"/>
  <c r="B12" i="2"/>
  <c r="H12" i="2"/>
  <c r="G12" i="2"/>
  <c r="L12" i="2" s="1"/>
  <c r="I12" i="2"/>
  <c r="H3" i="2"/>
  <c r="G3" i="2"/>
  <c r="L3" i="2" s="1"/>
  <c r="D3" i="2"/>
  <c r="C3" i="2"/>
  <c r="B3" i="2"/>
  <c r="I3" i="2"/>
  <c r="J3" i="2"/>
  <c r="G55" i="2"/>
  <c r="L55" i="2" s="1"/>
  <c r="I55" i="2"/>
  <c r="B55" i="2"/>
  <c r="J55" i="2"/>
  <c r="H55" i="2"/>
  <c r="D55" i="2"/>
  <c r="C55" i="2"/>
  <c r="D29" i="2"/>
  <c r="G29" i="2"/>
  <c r="L29" i="2" s="1"/>
  <c r="C29" i="2"/>
  <c r="B29" i="2"/>
  <c r="J29" i="2"/>
  <c r="I29" i="2"/>
  <c r="H29" i="2"/>
  <c r="D18" i="2"/>
  <c r="C18" i="2"/>
  <c r="J18" i="2"/>
  <c r="B18" i="2"/>
  <c r="I18" i="2"/>
  <c r="H18" i="2"/>
  <c r="G18" i="2"/>
  <c r="L18" i="2" s="1"/>
  <c r="H34" i="2"/>
  <c r="G34" i="2"/>
  <c r="C34" i="2"/>
  <c r="B34" i="2"/>
  <c r="J34" i="2"/>
  <c r="I34" i="2"/>
  <c r="D34" i="2"/>
  <c r="D43" i="2"/>
  <c r="C43" i="2"/>
  <c r="I43" i="2"/>
  <c r="B43" i="2"/>
  <c r="J43" i="2"/>
  <c r="G43" i="2"/>
  <c r="H43" i="2"/>
  <c r="G96" i="2"/>
  <c r="D96" i="2"/>
  <c r="I96" i="2"/>
  <c r="J96" i="2"/>
  <c r="C96" i="2"/>
  <c r="B96" i="2"/>
  <c r="H96" i="2"/>
  <c r="I40" i="2"/>
  <c r="H40" i="2"/>
  <c r="G40" i="2"/>
  <c r="L40" i="2" s="1"/>
  <c r="J40" i="2"/>
  <c r="D40" i="2"/>
  <c r="C40" i="2"/>
  <c r="B40" i="2"/>
  <c r="C71" i="2"/>
  <c r="B71" i="2"/>
  <c r="G71" i="2"/>
  <c r="L71" i="2" s="1"/>
  <c r="J71" i="2"/>
  <c r="I71" i="2"/>
  <c r="H71" i="2"/>
  <c r="D71" i="2"/>
  <c r="G86" i="2"/>
  <c r="L86" i="2" s="1"/>
  <c r="H86" i="2"/>
  <c r="J86" i="2"/>
  <c r="I86" i="2"/>
  <c r="D86" i="2"/>
  <c r="C86" i="2"/>
  <c r="B86" i="2"/>
  <c r="G62" i="2"/>
  <c r="L62" i="2" s="1"/>
  <c r="C62" i="2"/>
  <c r="J62" i="2"/>
  <c r="H62" i="2"/>
  <c r="D62" i="2"/>
  <c r="B62" i="2"/>
  <c r="I62" i="2"/>
  <c r="G82" i="2"/>
  <c r="J82" i="2"/>
  <c r="H82" i="2"/>
  <c r="C82" i="2"/>
  <c r="B82" i="2"/>
  <c r="I82" i="2"/>
  <c r="D82" i="2"/>
  <c r="C85" i="2"/>
  <c r="J85" i="2"/>
  <c r="H85" i="2"/>
  <c r="D85" i="2"/>
  <c r="I85" i="2"/>
  <c r="B85" i="2"/>
  <c r="G85" i="2"/>
  <c r="H5" i="2"/>
  <c r="G5" i="2"/>
  <c r="L5" i="2" s="1"/>
  <c r="D5" i="2"/>
  <c r="C5" i="2"/>
  <c r="J5" i="2"/>
  <c r="I5" i="2"/>
  <c r="B5" i="2"/>
  <c r="C89" i="2"/>
  <c r="H89" i="2"/>
  <c r="J89" i="2"/>
  <c r="B89" i="2"/>
  <c r="I89" i="2"/>
  <c r="G89" i="2"/>
  <c r="L89" i="2" s="1"/>
  <c r="D89" i="2"/>
  <c r="D2" i="2"/>
  <c r="C2" i="2"/>
  <c r="H2" i="2"/>
  <c r="G2" i="2"/>
  <c r="L2" i="2" s="1"/>
  <c r="B2" i="2"/>
  <c r="J2" i="2"/>
  <c r="I2" i="2"/>
  <c r="C77" i="2"/>
  <c r="D77" i="2"/>
  <c r="H77" i="2"/>
  <c r="B77" i="2"/>
  <c r="J77" i="2"/>
  <c r="I77" i="2"/>
  <c r="G77" i="2"/>
  <c r="L77" i="2" s="1"/>
  <c r="D22" i="2"/>
  <c r="C22" i="2"/>
  <c r="J22" i="2"/>
  <c r="B22" i="2"/>
  <c r="I22" i="2"/>
  <c r="H22" i="2"/>
  <c r="G22" i="2"/>
  <c r="C99" i="2"/>
  <c r="G99" i="2"/>
  <c r="L99" i="2" s="1"/>
  <c r="I99" i="2"/>
  <c r="B99" i="2"/>
  <c r="J99" i="2"/>
  <c r="H99" i="2"/>
  <c r="D99" i="2"/>
  <c r="D47" i="2"/>
  <c r="C47" i="2"/>
  <c r="I47" i="2"/>
  <c r="B47" i="2"/>
  <c r="J47" i="2"/>
  <c r="H47" i="2"/>
  <c r="G47" i="2"/>
  <c r="L47" i="2" s="1"/>
  <c r="C79" i="2"/>
  <c r="I79" i="2"/>
  <c r="G79" i="2"/>
  <c r="L79" i="2" s="1"/>
  <c r="B79" i="2"/>
  <c r="H79" i="2"/>
  <c r="D79" i="2"/>
  <c r="J79" i="2"/>
  <c r="I44" i="2"/>
  <c r="H44" i="2"/>
  <c r="G44" i="2"/>
  <c r="J44" i="2"/>
  <c r="D44" i="2"/>
  <c r="C44" i="2"/>
  <c r="B44" i="2"/>
  <c r="C93" i="2"/>
  <c r="D93" i="2"/>
  <c r="H93" i="2"/>
  <c r="J93" i="2"/>
  <c r="I93" i="2"/>
  <c r="G93" i="2"/>
  <c r="L93" i="2" s="1"/>
  <c r="B93" i="2"/>
  <c r="C50" i="2"/>
  <c r="I50" i="2"/>
  <c r="D50" i="2"/>
  <c r="G50" i="2"/>
  <c r="B50" i="2"/>
  <c r="H50" i="2"/>
  <c r="J50" i="2"/>
  <c r="G78" i="2"/>
  <c r="L78" i="2" s="1"/>
  <c r="C78" i="2"/>
  <c r="J78" i="2"/>
  <c r="B78" i="2"/>
  <c r="I78" i="2"/>
  <c r="H78" i="2"/>
  <c r="D78" i="2"/>
  <c r="G98" i="2"/>
  <c r="L98" i="2" s="1"/>
  <c r="J98" i="2"/>
  <c r="H98" i="2"/>
  <c r="C98" i="2"/>
  <c r="I98" i="2"/>
  <c r="D98" i="2"/>
  <c r="B98" i="2"/>
  <c r="G76" i="2"/>
  <c r="L76" i="2" s="1"/>
  <c r="I76" i="2"/>
  <c r="B76" i="2"/>
  <c r="J76" i="2"/>
  <c r="H76" i="2"/>
  <c r="D76" i="2"/>
  <c r="C76" i="2"/>
  <c r="D8" i="2"/>
  <c r="C8" i="2"/>
  <c r="H8" i="2"/>
  <c r="G8" i="2"/>
  <c r="L8" i="2" s="1"/>
  <c r="I8" i="2"/>
  <c r="B8" i="2"/>
  <c r="J8" i="2"/>
  <c r="D6" i="2"/>
  <c r="C6" i="2"/>
  <c r="H6" i="2"/>
  <c r="G6" i="2"/>
  <c r="L6" i="2" s="1"/>
  <c r="B6" i="2"/>
  <c r="J6" i="2"/>
  <c r="I6" i="2"/>
  <c r="D39" i="2"/>
  <c r="C39" i="2"/>
  <c r="H39" i="2"/>
  <c r="G39" i="2"/>
  <c r="L39" i="2" s="1"/>
  <c r="B39" i="2"/>
  <c r="I39" i="2"/>
  <c r="J39" i="2"/>
  <c r="D24" i="2"/>
  <c r="C24" i="2"/>
  <c r="J24" i="2"/>
  <c r="B24" i="2"/>
  <c r="I24" i="2"/>
  <c r="H24" i="2"/>
  <c r="G24" i="2"/>
  <c r="H28" i="2"/>
  <c r="J28" i="2"/>
  <c r="I28" i="2"/>
  <c r="G28" i="2"/>
  <c r="L28" i="2" s="1"/>
  <c r="D28" i="2"/>
  <c r="C28" i="2"/>
  <c r="B28" i="2"/>
  <c r="C75" i="2"/>
  <c r="B75" i="2"/>
  <c r="I75" i="2"/>
  <c r="H75" i="2"/>
  <c r="G75" i="2"/>
  <c r="L75" i="2" s="1"/>
  <c r="D75" i="2"/>
  <c r="J75" i="2"/>
  <c r="G90" i="2"/>
  <c r="L90" i="2" s="1"/>
  <c r="C90" i="2"/>
  <c r="H90" i="2"/>
  <c r="I90" i="2"/>
  <c r="D90" i="2"/>
  <c r="B90" i="2"/>
  <c r="J90" i="2"/>
  <c r="I46" i="2"/>
  <c r="H46" i="2"/>
  <c r="G46" i="2"/>
  <c r="L46" i="2" s="1"/>
  <c r="B46" i="2"/>
  <c r="J46" i="2"/>
  <c r="D46" i="2"/>
  <c r="C46" i="2"/>
  <c r="G57" i="2"/>
  <c r="L57" i="2" s="1"/>
  <c r="I57" i="2"/>
  <c r="C57" i="2"/>
  <c r="J57" i="2"/>
  <c r="B57" i="2"/>
  <c r="D57" i="2"/>
  <c r="H57" i="2"/>
  <c r="C52" i="2"/>
  <c r="I52" i="2"/>
  <c r="D52" i="2"/>
  <c r="B52" i="2"/>
  <c r="K52" i="2" s="1"/>
  <c r="H52" i="2"/>
  <c r="J52" i="2"/>
  <c r="G52" i="2"/>
  <c r="C81" i="2"/>
  <c r="D81" i="2"/>
  <c r="J81" i="2"/>
  <c r="I81" i="2"/>
  <c r="H81" i="2"/>
  <c r="G81" i="2"/>
  <c r="L81" i="2" s="1"/>
  <c r="B81" i="2"/>
  <c r="C101" i="2"/>
  <c r="J101" i="2"/>
  <c r="H101" i="2"/>
  <c r="D101" i="2"/>
  <c r="G101" i="2"/>
  <c r="L101" i="2" s="1"/>
  <c r="B101" i="2"/>
  <c r="I101" i="2"/>
  <c r="G51" i="2"/>
  <c r="D51" i="2"/>
  <c r="C51" i="2"/>
  <c r="B51" i="2"/>
  <c r="J51" i="2"/>
  <c r="I51" i="2"/>
  <c r="H51" i="2"/>
  <c r="I42" i="2"/>
  <c r="H42" i="2"/>
  <c r="G42" i="2"/>
  <c r="L42" i="2" s="1"/>
  <c r="B42" i="2"/>
  <c r="J42" i="2"/>
  <c r="D42" i="2"/>
  <c r="C42" i="2"/>
  <c r="H11" i="2"/>
  <c r="G11" i="2"/>
  <c r="D11" i="2"/>
  <c r="C11" i="2"/>
  <c r="B11" i="2"/>
  <c r="I11" i="2"/>
  <c r="J11" i="2"/>
  <c r="H17" i="2"/>
  <c r="G17" i="2"/>
  <c r="L17" i="2" s="1"/>
  <c r="D17" i="2"/>
  <c r="C17" i="2"/>
  <c r="J17" i="2"/>
  <c r="I17" i="2"/>
  <c r="B17" i="2"/>
  <c r="H13" i="2"/>
  <c r="G13" i="2"/>
  <c r="L13" i="2" s="1"/>
  <c r="E13" i="2" s="1"/>
  <c r="D13" i="2"/>
  <c r="C13" i="2"/>
  <c r="B13" i="2"/>
  <c r="K13" i="2" s="1"/>
  <c r="J13" i="2"/>
  <c r="I13" i="2"/>
  <c r="D10" i="2"/>
  <c r="C10" i="2"/>
  <c r="H10" i="2"/>
  <c r="G10" i="2"/>
  <c r="L10" i="2" s="1"/>
  <c r="J10" i="2"/>
  <c r="B10" i="2"/>
  <c r="I10" i="2"/>
  <c r="C87" i="2"/>
  <c r="B87" i="2"/>
  <c r="G87" i="2"/>
  <c r="L87" i="2" s="1"/>
  <c r="J87" i="2"/>
  <c r="I87" i="2"/>
  <c r="H87" i="2"/>
  <c r="D87" i="2"/>
  <c r="H30" i="2"/>
  <c r="D30" i="2"/>
  <c r="C30" i="2"/>
  <c r="B30" i="2"/>
  <c r="J30" i="2"/>
  <c r="I30" i="2"/>
  <c r="G30" i="2"/>
  <c r="L30" i="2" s="1"/>
  <c r="D31" i="2"/>
  <c r="J31" i="2"/>
  <c r="I31" i="2"/>
  <c r="H31" i="2"/>
  <c r="G31" i="2"/>
  <c r="C31" i="2"/>
  <c r="B31" i="2"/>
  <c r="G80" i="2"/>
  <c r="L80" i="2" s="1"/>
  <c r="D80" i="2"/>
  <c r="I80" i="2"/>
  <c r="H80" i="2"/>
  <c r="C80" i="2"/>
  <c r="B80" i="2"/>
  <c r="J80" i="2"/>
  <c r="G53" i="2"/>
  <c r="L53" i="2" s="1"/>
  <c r="D53" i="2"/>
  <c r="B53" i="2"/>
  <c r="J53" i="2"/>
  <c r="H53" i="2"/>
  <c r="I53" i="2"/>
  <c r="C53" i="2"/>
  <c r="C48" i="2"/>
  <c r="J48" i="2"/>
  <c r="I48" i="2"/>
  <c r="H48" i="2"/>
  <c r="G48" i="2"/>
  <c r="L48" i="2" s="1"/>
  <c r="D48" i="2"/>
  <c r="B48" i="2"/>
  <c r="G59" i="2"/>
  <c r="L59" i="2" s="1"/>
  <c r="E59" i="2" s="1"/>
  <c r="I59" i="2"/>
  <c r="D59" i="2"/>
  <c r="B59" i="2"/>
  <c r="K59" i="2" s="1"/>
  <c r="J59" i="2"/>
  <c r="H59" i="2"/>
  <c r="C59" i="2"/>
  <c r="C54" i="2"/>
  <c r="I54" i="2"/>
  <c r="D54" i="2"/>
  <c r="J54" i="2"/>
  <c r="H54" i="2"/>
  <c r="B54" i="2"/>
  <c r="G54" i="2"/>
  <c r="G94" i="2"/>
  <c r="C94" i="2"/>
  <c r="J94" i="2"/>
  <c r="D94" i="2"/>
  <c r="I94" i="2"/>
  <c r="H94" i="2"/>
  <c r="B94" i="2"/>
  <c r="H19" i="2"/>
  <c r="G19" i="2"/>
  <c r="L19" i="2" s="1"/>
  <c r="D19" i="2"/>
  <c r="C19" i="2"/>
  <c r="J19" i="2"/>
  <c r="I19" i="2"/>
  <c r="B19" i="2"/>
  <c r="G68" i="2"/>
  <c r="D68" i="2"/>
  <c r="B68" i="2"/>
  <c r="I68" i="2"/>
  <c r="C68" i="2"/>
  <c r="J68" i="2"/>
  <c r="H68" i="2"/>
  <c r="D4" i="2"/>
  <c r="C4" i="2"/>
  <c r="H4" i="2"/>
  <c r="G4" i="2"/>
  <c r="L4" i="2" s="1"/>
  <c r="I4" i="2"/>
  <c r="J4" i="2"/>
  <c r="B4" i="2"/>
  <c r="D25" i="2"/>
  <c r="I25" i="2"/>
  <c r="H25" i="2"/>
  <c r="G25" i="2"/>
  <c r="L25" i="2" s="1"/>
  <c r="C25" i="2"/>
  <c r="J25" i="2"/>
  <c r="B25" i="2"/>
  <c r="H15" i="2"/>
  <c r="G15" i="2"/>
  <c r="L15" i="2" s="1"/>
  <c r="D15" i="2"/>
  <c r="C15" i="2"/>
  <c r="B15" i="2"/>
  <c r="I15" i="2"/>
  <c r="J15" i="2"/>
  <c r="H32" i="2"/>
  <c r="G32" i="2"/>
  <c r="L32" i="2" s="1"/>
  <c r="D32" i="2"/>
  <c r="C32" i="2"/>
  <c r="B32" i="2"/>
  <c r="J32" i="2"/>
  <c r="I32" i="2"/>
  <c r="G92" i="2"/>
  <c r="I92" i="2"/>
  <c r="B92" i="2"/>
  <c r="J92" i="2"/>
  <c r="H92" i="2"/>
  <c r="D92" i="2"/>
  <c r="C92" i="2"/>
  <c r="D33" i="2"/>
  <c r="C33" i="2"/>
  <c r="B33" i="2"/>
  <c r="J33" i="2"/>
  <c r="I33" i="2"/>
  <c r="H33" i="2"/>
  <c r="G33" i="2"/>
  <c r="L33" i="2" s="1"/>
  <c r="D35" i="2"/>
  <c r="C35" i="2"/>
  <c r="J35" i="2"/>
  <c r="I35" i="2"/>
  <c r="H35" i="2"/>
  <c r="G35" i="2"/>
  <c r="L35" i="2" s="1"/>
  <c r="B35" i="2"/>
  <c r="C63" i="2"/>
  <c r="I63" i="2"/>
  <c r="G63" i="2"/>
  <c r="L63" i="2" s="1"/>
  <c r="B63" i="2"/>
  <c r="J63" i="2"/>
  <c r="D63" i="2"/>
  <c r="H63" i="2"/>
  <c r="C67" i="2"/>
  <c r="G67" i="2"/>
  <c r="L67" i="2" s="1"/>
  <c r="I67" i="2"/>
  <c r="B67" i="2"/>
  <c r="J67" i="2"/>
  <c r="H67" i="2"/>
  <c r="D67" i="2"/>
  <c r="G72" i="2"/>
  <c r="L72" i="2" s="1"/>
  <c r="B72" i="2"/>
  <c r="I72" i="2"/>
  <c r="D72" i="2"/>
  <c r="J72" i="2"/>
  <c r="H72" i="2"/>
  <c r="C72" i="2"/>
  <c r="G61" i="2"/>
  <c r="L61" i="2" s="1"/>
  <c r="I61" i="2"/>
  <c r="C61" i="2"/>
  <c r="B61" i="2"/>
  <c r="J61" i="2"/>
  <c r="H61" i="2"/>
  <c r="D61" i="2"/>
  <c r="C56" i="2"/>
  <c r="I56" i="2"/>
  <c r="B56" i="2"/>
  <c r="J56" i="2"/>
  <c r="H56" i="2"/>
  <c r="G56" i="2"/>
  <c r="L56" i="2" s="1"/>
  <c r="D56" i="2"/>
  <c r="C97" i="2"/>
  <c r="D97" i="2"/>
  <c r="J97" i="2"/>
  <c r="H97" i="2"/>
  <c r="G97" i="2"/>
  <c r="B97" i="2"/>
  <c r="I97" i="2"/>
  <c r="F21" i="2" l="1"/>
  <c r="E21" i="2"/>
  <c r="E62" i="2"/>
  <c r="F62" i="2"/>
  <c r="K25" i="2"/>
  <c r="L31" i="2"/>
  <c r="E87" i="2"/>
  <c r="F87" i="2"/>
  <c r="K87" i="2" s="1"/>
  <c r="E57" i="2"/>
  <c r="F57" i="2"/>
  <c r="L44" i="2"/>
  <c r="L22" i="2"/>
  <c r="K2" i="2"/>
  <c r="L82" i="2"/>
  <c r="K86" i="2"/>
  <c r="L34" i="2"/>
  <c r="L83" i="2"/>
  <c r="F84" i="2"/>
  <c r="E84" i="2"/>
  <c r="K84" i="2" s="1"/>
  <c r="F20" i="2"/>
  <c r="K20" i="2" s="1"/>
  <c r="E20" i="2"/>
  <c r="K4" i="2"/>
  <c r="F12" i="2"/>
  <c r="E12" i="2"/>
  <c r="F38" i="2"/>
  <c r="E38" i="2"/>
  <c r="K38" i="2" s="1"/>
  <c r="K48" i="2"/>
  <c r="E75" i="2"/>
  <c r="F75" i="2"/>
  <c r="K75" i="2" s="1"/>
  <c r="F28" i="2"/>
  <c r="E28" i="2"/>
  <c r="K28" i="2" s="1"/>
  <c r="L50" i="2"/>
  <c r="E2" i="2"/>
  <c r="F2" i="2"/>
  <c r="F5" i="2"/>
  <c r="E5" i="2"/>
  <c r="K5" i="2" s="1"/>
  <c r="K3" i="2"/>
  <c r="K12" i="2"/>
  <c r="E91" i="2"/>
  <c r="F91" i="2"/>
  <c r="E45" i="2"/>
  <c r="F45" i="2"/>
  <c r="K45" i="2" s="1"/>
  <c r="K7" i="2"/>
  <c r="F23" i="2"/>
  <c r="K23" i="2" s="1"/>
  <c r="E23" i="2"/>
  <c r="E39" i="2"/>
  <c r="F39" i="2"/>
  <c r="E79" i="2"/>
  <c r="F79" i="2"/>
  <c r="F63" i="2"/>
  <c r="K63" i="2" s="1"/>
  <c r="E63" i="2"/>
  <c r="F4" i="2"/>
  <c r="E4" i="2"/>
  <c r="F19" i="2"/>
  <c r="E19" i="2"/>
  <c r="K19" i="2" s="1"/>
  <c r="L94" i="2"/>
  <c r="K42" i="2"/>
  <c r="E47" i="2"/>
  <c r="F47" i="2"/>
  <c r="K62" i="2"/>
  <c r="F40" i="2"/>
  <c r="K40" i="2" s="1"/>
  <c r="E40" i="2"/>
  <c r="F18" i="2"/>
  <c r="E18" i="2"/>
  <c r="L70" i="2"/>
  <c r="L65" i="2"/>
  <c r="E41" i="2"/>
  <c r="F41" i="2"/>
  <c r="K41" i="2" s="1"/>
  <c r="E74" i="2"/>
  <c r="F74" i="2"/>
  <c r="K74" i="2" s="1"/>
  <c r="L92" i="2"/>
  <c r="E56" i="2"/>
  <c r="F56" i="2"/>
  <c r="K15" i="2"/>
  <c r="F25" i="2"/>
  <c r="E25" i="2"/>
  <c r="L54" i="2"/>
  <c r="F48" i="2"/>
  <c r="E48" i="2"/>
  <c r="E42" i="2"/>
  <c r="F42" i="2"/>
  <c r="L52" i="2"/>
  <c r="E52" i="2" s="1"/>
  <c r="L85" i="2"/>
  <c r="E71" i="2"/>
  <c r="F71" i="2"/>
  <c r="L96" i="2"/>
  <c r="L64" i="2"/>
  <c r="F26" i="2"/>
  <c r="E26" i="2"/>
  <c r="K26" i="2" s="1"/>
  <c r="L49" i="2"/>
  <c r="F76" i="2"/>
  <c r="K76" i="2" s="1"/>
  <c r="E76" i="2"/>
  <c r="F77" i="2"/>
  <c r="K77" i="2" s="1"/>
  <c r="E77" i="2"/>
  <c r="E67" i="2"/>
  <c r="F67" i="2"/>
  <c r="K67" i="2" s="1"/>
  <c r="E33" i="2"/>
  <c r="F33" i="2"/>
  <c r="K33" i="2" s="1"/>
  <c r="L68" i="2"/>
  <c r="L51" i="2"/>
  <c r="K81" i="2"/>
  <c r="K57" i="2"/>
  <c r="K46" i="2"/>
  <c r="K71" i="2"/>
  <c r="E3" i="2"/>
  <c r="F3" i="2"/>
  <c r="E60" i="2"/>
  <c r="F60" i="2"/>
  <c r="K60" i="2" s="1"/>
  <c r="F95" i="2"/>
  <c r="K95" i="2" s="1"/>
  <c r="E95" i="2"/>
  <c r="K91" i="2"/>
  <c r="F16" i="2"/>
  <c r="K16" i="2" s="1"/>
  <c r="E16" i="2"/>
  <c r="E7" i="2"/>
  <c r="F7" i="2"/>
  <c r="F66" i="2"/>
  <c r="E66" i="2"/>
  <c r="K21" i="2"/>
  <c r="F32" i="2"/>
  <c r="K32" i="2" s="1"/>
  <c r="E32" i="2"/>
  <c r="E101" i="2"/>
  <c r="F101" i="2"/>
  <c r="K101" i="2" s="1"/>
  <c r="F100" i="2"/>
  <c r="K100" i="2" s="1"/>
  <c r="E100" i="2"/>
  <c r="L97" i="2"/>
  <c r="F80" i="2"/>
  <c r="K80" i="2" s="1"/>
  <c r="E80" i="2"/>
  <c r="F30" i="2"/>
  <c r="K30" i="2" s="1"/>
  <c r="E30" i="2"/>
  <c r="L11" i="2"/>
  <c r="F81" i="2"/>
  <c r="E81" i="2"/>
  <c r="E46" i="2"/>
  <c r="F46" i="2"/>
  <c r="L24" i="2"/>
  <c r="F8" i="2"/>
  <c r="K8" i="2" s="1"/>
  <c r="E8" i="2"/>
  <c r="E78" i="2"/>
  <c r="F78" i="2"/>
  <c r="K78" i="2" s="1"/>
  <c r="K47" i="2"/>
  <c r="L43" i="2"/>
  <c r="K18" i="2"/>
  <c r="L73" i="2"/>
  <c r="L27" i="2"/>
  <c r="K58" i="2"/>
  <c r="L88" i="2"/>
  <c r="F37" i="2"/>
  <c r="K37" i="2" s="1"/>
  <c r="E37" i="2"/>
  <c r="E61" i="2"/>
  <c r="F61" i="2"/>
  <c r="K61" i="2" s="1"/>
  <c r="K56" i="2"/>
  <c r="E72" i="2"/>
  <c r="F72" i="2"/>
  <c r="K72" i="2" s="1"/>
  <c r="F35" i="2"/>
  <c r="K35" i="2" s="1"/>
  <c r="E35" i="2"/>
  <c r="F15" i="2"/>
  <c r="E15" i="2"/>
  <c r="E53" i="2"/>
  <c r="F53" i="2"/>
  <c r="K53" i="2" s="1"/>
  <c r="E10" i="2"/>
  <c r="F10" i="2"/>
  <c r="K10" i="2" s="1"/>
  <c r="F17" i="2"/>
  <c r="K17" i="2" s="1"/>
  <c r="E17" i="2"/>
  <c r="E90" i="2"/>
  <c r="F90" i="2"/>
  <c r="K90" i="2" s="1"/>
  <c r="K39" i="2"/>
  <c r="F6" i="2"/>
  <c r="K6" i="2" s="1"/>
  <c r="E6" i="2"/>
  <c r="F98" i="2"/>
  <c r="K98" i="2" s="1"/>
  <c r="E98" i="2"/>
  <c r="F93" i="2"/>
  <c r="E93" i="2"/>
  <c r="K93" i="2" s="1"/>
  <c r="K79" i="2"/>
  <c r="E99" i="2"/>
  <c r="F99" i="2"/>
  <c r="K99" i="2" s="1"/>
  <c r="F89" i="2"/>
  <c r="K89" i="2" s="1"/>
  <c r="E89" i="2"/>
  <c r="E86" i="2"/>
  <c r="F86" i="2"/>
  <c r="F29" i="2"/>
  <c r="K29" i="2" s="1"/>
  <c r="E29" i="2"/>
  <c r="E55" i="2"/>
  <c r="F55" i="2"/>
  <c r="K55" i="2" s="1"/>
  <c r="L69" i="2"/>
  <c r="L9" i="2"/>
  <c r="K66" i="2"/>
  <c r="E58" i="2"/>
  <c r="F58" i="2"/>
  <c r="F14" i="2"/>
  <c r="K14" i="2" s="1"/>
  <c r="E14" i="2"/>
  <c r="F9" i="2" l="1"/>
  <c r="K9" i="2" s="1"/>
  <c r="E9" i="2"/>
  <c r="F88" i="2"/>
  <c r="E88" i="2"/>
  <c r="E43" i="2"/>
  <c r="F43" i="2"/>
  <c r="K43" i="2" s="1"/>
  <c r="F82" i="2"/>
  <c r="E82" i="2"/>
  <c r="F85" i="2"/>
  <c r="K85" i="2" s="1"/>
  <c r="E85" i="2"/>
  <c r="F64" i="2"/>
  <c r="E64" i="2"/>
  <c r="F65" i="2"/>
  <c r="E65" i="2"/>
  <c r="F22" i="2"/>
  <c r="E22" i="2"/>
  <c r="F68" i="2"/>
  <c r="K68" i="2" s="1"/>
  <c r="E68" i="2"/>
  <c r="F27" i="2"/>
  <c r="E27" i="2"/>
  <c r="F73" i="2"/>
  <c r="E73" i="2"/>
  <c r="F49" i="2"/>
  <c r="E49" i="2"/>
  <c r="F96" i="2"/>
  <c r="K96" i="2" s="1"/>
  <c r="E96" i="2"/>
  <c r="E83" i="2"/>
  <c r="F83" i="2"/>
  <c r="K83" i="2" s="1"/>
  <c r="E44" i="2"/>
  <c r="F44" i="2"/>
  <c r="K44" i="2" s="1"/>
  <c r="F24" i="2"/>
  <c r="E24" i="2"/>
  <c r="E51" i="2"/>
  <c r="F51" i="2"/>
  <c r="E70" i="2"/>
  <c r="F70" i="2"/>
  <c r="K70" i="2" s="1"/>
  <c r="F31" i="2"/>
  <c r="E31" i="2"/>
  <c r="F54" i="2"/>
  <c r="E54" i="2"/>
  <c r="E94" i="2"/>
  <c r="F94" i="2"/>
  <c r="F69" i="2"/>
  <c r="E69" i="2"/>
  <c r="F11" i="2"/>
  <c r="E11" i="2"/>
  <c r="F97" i="2"/>
  <c r="E97" i="2"/>
  <c r="F92" i="2"/>
  <c r="K92" i="2" s="1"/>
  <c r="E92" i="2"/>
  <c r="F50" i="2"/>
  <c r="E50" i="2"/>
  <c r="F34" i="2"/>
  <c r="E34" i="2"/>
  <c r="K97" i="2" l="1"/>
  <c r="K22" i="2"/>
  <c r="K54" i="2"/>
  <c r="K49" i="2"/>
  <c r="K82" i="2"/>
  <c r="K34" i="2"/>
  <c r="K11" i="2"/>
  <c r="K31" i="2"/>
  <c r="K73" i="2"/>
  <c r="K65" i="2"/>
  <c r="K24" i="2"/>
  <c r="K50" i="2"/>
  <c r="K69" i="2"/>
  <c r="K27" i="2"/>
  <c r="K64" i="2"/>
  <c r="K88" i="2"/>
  <c r="K94" i="2"/>
  <c r="K51" i="2"/>
</calcChain>
</file>

<file path=xl/sharedStrings.xml><?xml version="1.0" encoding="utf-8"?>
<sst xmlns="http://schemas.openxmlformats.org/spreadsheetml/2006/main" count="1239" uniqueCount="160">
  <si>
    <t>Row_ID</t>
  </si>
  <si>
    <t>Market</t>
  </si>
  <si>
    <t>Partner_Agency</t>
  </si>
  <si>
    <t>Campaign_Name</t>
  </si>
  <si>
    <t>Reported_Revenue</t>
  </si>
  <si>
    <t>Invoice_Amount</t>
  </si>
  <si>
    <t>Currency</t>
  </si>
  <si>
    <t>Month</t>
  </si>
  <si>
    <t>Status</t>
  </si>
  <si>
    <t>Notes</t>
  </si>
  <si>
    <t>sweden</t>
  </si>
  <si>
    <t>WPP Media</t>
  </si>
  <si>
    <t>Q1 Brand Awareness</t>
  </si>
  <si>
    <t>EUR</t>
  </si>
  <si>
    <t>Feb-24</t>
  </si>
  <si>
    <t>disputed</t>
  </si>
  <si>
    <t>Sweden</t>
  </si>
  <si>
    <t>IPG Mediabrands</t>
  </si>
  <si>
    <t>gbp</t>
  </si>
  <si>
    <t>Jan-24</t>
  </si>
  <si>
    <t>Mindshare</t>
  </si>
  <si>
    <t>Premium Tier Push</t>
  </si>
  <si>
    <t>GBP</t>
  </si>
  <si>
    <t>02/2024</t>
  </si>
  <si>
    <t>Under review</t>
  </si>
  <si>
    <t>Check with agency</t>
  </si>
  <si>
    <t>Deutschland</t>
  </si>
  <si>
    <t>Publicis</t>
  </si>
  <si>
    <t>Q2 Retargeting Sweep</t>
  </si>
  <si>
    <t>May-24</t>
  </si>
  <si>
    <t>CONFIRMED</t>
  </si>
  <si>
    <t>spain</t>
  </si>
  <si>
    <t>MediaCom</t>
  </si>
  <si>
    <t>Agency Co-op Feb</t>
  </si>
  <si>
    <t>01/2024</t>
  </si>
  <si>
    <t>Late invoice</t>
  </si>
  <si>
    <t>Data-Driven Creative</t>
  </si>
  <si>
    <t>March 2024</t>
  </si>
  <si>
    <t>pending</t>
  </si>
  <si>
    <t>DE</t>
  </si>
  <si>
    <t>£36966.96</t>
  </si>
  <si>
    <t>£</t>
  </si>
  <si>
    <t>04/2024</t>
  </si>
  <si>
    <t>Pending</t>
  </si>
  <si>
    <t>Always-On Display</t>
  </si>
  <si>
    <t>eur</t>
  </si>
  <si>
    <t>Original lost</t>
  </si>
  <si>
    <t>Havas Media</t>
  </si>
  <si>
    <t>Influencer Collab Feb</t>
  </si>
  <si>
    <t>April 2024</t>
  </si>
  <si>
    <t>U.K.</t>
  </si>
  <si>
    <t>Dentsu</t>
  </si>
  <si>
    <t>Disputed</t>
  </si>
  <si>
    <t>Under Review</t>
  </si>
  <si>
    <t>FRANCE</t>
  </si>
  <si>
    <t>Winter Churn Prevention</t>
  </si>
  <si>
    <t>February 2024</t>
  </si>
  <si>
    <t>confirmed</t>
  </si>
  <si>
    <t>Amended</t>
  </si>
  <si>
    <t>SE</t>
  </si>
  <si>
    <t>Subscriber Acquisition - Spring</t>
  </si>
  <si>
    <t>03/2024</t>
  </si>
  <si>
    <t>NL</t>
  </si>
  <si>
    <t>The Netherlands</t>
  </si>
  <si>
    <t>GroupM</t>
  </si>
  <si>
    <t>Hearts &amp; Science</t>
  </si>
  <si>
    <t>EMEA Upfront Deal</t>
  </si>
  <si>
    <t>06/2024</t>
  </si>
  <si>
    <t>Italy</t>
  </si>
  <si>
    <t>UK</t>
  </si>
  <si>
    <t>January 2024</t>
  </si>
  <si>
    <t>United Kingdom</t>
  </si>
  <si>
    <t>Mar-24</t>
  </si>
  <si>
    <t>IT</t>
  </si>
  <si>
    <t>£52276.76</t>
  </si>
  <si>
    <t>France</t>
  </si>
  <si>
    <t>Re-sent</t>
  </si>
  <si>
    <t>france</t>
  </si>
  <si>
    <t>Confirmed</t>
  </si>
  <si>
    <t>Jun-24</t>
  </si>
  <si>
    <t>Spain</t>
  </si>
  <si>
    <t>Paid</t>
  </si>
  <si>
    <t>Content Promo Jan</t>
  </si>
  <si>
    <t>May 2024</t>
  </si>
  <si>
    <t>Manual entry</t>
  </si>
  <si>
    <t>€</t>
  </si>
  <si>
    <t>italia</t>
  </si>
  <si>
    <t>Germany</t>
  </si>
  <si>
    <t>Performance Max Q1</t>
  </si>
  <si>
    <t>Regional Launch NL</t>
  </si>
  <si>
    <t>05/2024</t>
  </si>
  <si>
    <t>Omnicom Media Group</t>
  </si>
  <si>
    <t>£17466.29</t>
  </si>
  <si>
    <t>Programmatic Top-Up</t>
  </si>
  <si>
    <t>June 2024</t>
  </si>
  <si>
    <t>ES</t>
  </si>
  <si>
    <t>£115829.5</t>
  </si>
  <si>
    <t>Apr-24</t>
  </si>
  <si>
    <t>Netherlands</t>
  </si>
  <si>
    <t>Connected TV Bundle</t>
  </si>
  <si>
    <t>£99787.63</t>
  </si>
  <si>
    <t>Reported_Revenue_GBP</t>
  </si>
  <si>
    <t>Invoice_Amount_GBP</t>
  </si>
  <si>
    <t>Currency_Original</t>
  </si>
  <si>
    <t>Data_Issue_Flag</t>
  </si>
  <si>
    <t>FX_Rate</t>
  </si>
  <si>
    <t>Variance_GBP</t>
  </si>
  <si>
    <t>Variance_Pct</t>
  </si>
  <si>
    <t>Recon_Status</t>
  </si>
  <si>
    <t>Feb-2024</t>
  </si>
  <si>
    <t>Jan-2024</t>
  </si>
  <si>
    <t>UNKNOWN</t>
  </si>
  <si>
    <t>May-2024</t>
  </si>
  <si>
    <t>Mar-2024</t>
  </si>
  <si>
    <t>Apr-2024</t>
  </si>
  <si>
    <t>Missing</t>
  </si>
  <si>
    <t>N/A</t>
  </si>
  <si>
    <t>Missing Invoice</t>
  </si>
  <si>
    <t>Jun-2024</t>
  </si>
  <si>
    <t>EMEA Commercial Revenue Reconciliation</t>
  </si>
  <si>
    <t>Revenue by Market (GBP)</t>
  </si>
  <si>
    <t>Reported Revenue</t>
  </si>
  <si>
    <t>Invoice Amount</t>
  </si>
  <si>
    <t>Variance</t>
  </si>
  <si>
    <t>Variance %</t>
  </si>
  <si>
    <t>Recon Status Split</t>
  </si>
  <si>
    <t>✓7 ⚠2 ✗5</t>
  </si>
  <si>
    <t>✓11 ⚠4 ✗5</t>
  </si>
  <si>
    <t>✓7 ⚠3 ✗1</t>
  </si>
  <si>
    <t>✓5 ⚠7 ✗3</t>
  </si>
  <si>
    <t>✓4 ⚠3 ✗1</t>
  </si>
  <si>
    <t>✓8 ⚠9 ✗1</t>
  </si>
  <si>
    <t>✓5 ⚠3 ✗1</t>
  </si>
  <si>
    <t>✓1 ⚠1 ✗0</t>
  </si>
  <si>
    <t>TOTAL</t>
  </si>
  <si>
    <t>Reconciliation Status Summary</t>
  </si>
  <si>
    <t>Count</t>
  </si>
  <si>
    <t>% of Total</t>
  </si>
  <si>
    <t>Match</t>
  </si>
  <si>
    <t>Review</t>
  </si>
  <si>
    <t>Escalate</t>
  </si>
  <si>
    <t>Revenue by Agency (GBP)</t>
  </si>
  <si>
    <t>Agency</t>
  </si>
  <si>
    <t>EUR_to_GBP</t>
  </si>
  <si>
    <t>GBP_to_GBP</t>
  </si>
  <si>
    <t>se</t>
  </si>
  <si>
    <t>uk</t>
  </si>
  <si>
    <t>under review</t>
  </si>
  <si>
    <t>u.k.</t>
  </si>
  <si>
    <t>united kingdom</t>
  </si>
  <si>
    <t>paid</t>
  </si>
  <si>
    <t>germany</t>
  </si>
  <si>
    <t>de</t>
  </si>
  <si>
    <t>deutschland</t>
  </si>
  <si>
    <t>es</t>
  </si>
  <si>
    <t>italy</t>
  </si>
  <si>
    <t>it</t>
  </si>
  <si>
    <t>netherlands</t>
  </si>
  <si>
    <t>nl</t>
  </si>
  <si>
    <t>the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</si>
</sst>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b/>
      <sz val="11"/>
      <name val="Arial"/>
    </font>
    <font>
      <b/>
      <sz val="11"/>
      <name val="Arial"/>
    </font>
    <font>
      <sz val="10"/>
      <color theme="1"/>
      <name val="Arial Unicode MS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DAD9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BFFC9"/>
        <bgColor indexed="64"/>
      </patternFill>
    </fill>
    <fill>
      <patternFill patternType="solid">
        <fgColor rgb="FFD6E4F7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4" fillId="0" borderId="0" xfId="0" applyFont="1"/>
    <xf numFmtId="4" fontId="0" fillId="6" borderId="0" xfId="0" applyNumberFormat="1" applyFill="1"/>
    <xf numFmtId="10" fontId="0" fillId="6" borderId="0" xfId="0" applyNumberFormat="1" applyFill="1"/>
    <xf numFmtId="0" fontId="5" fillId="9" borderId="0" xfId="0" applyFont="1" applyFill="1"/>
    <xf numFmtId="4" fontId="5" fillId="9" borderId="0" xfId="0" applyNumberFormat="1" applyFont="1" applyFill="1"/>
    <xf numFmtId="0" fontId="2" fillId="5" borderId="0" xfId="0" applyFont="1" applyFill="1"/>
    <xf numFmtId="164" fontId="0" fillId="6" borderId="0" xfId="0" applyNumberFormat="1" applyFill="1"/>
    <xf numFmtId="0" fontId="0" fillId="0" borderId="0" xfId="0" applyAlignment="1">
      <alignment vertical="center" wrapText="1"/>
    </xf>
    <xf numFmtId="49" fontId="0" fillId="0" borderId="0" xfId="0" applyNumberFormat="1"/>
    <xf numFmtId="0" fontId="6" fillId="0" borderId="0" xfId="0" applyFont="1"/>
    <xf numFmtId="0" fontId="7" fillId="5" borderId="0" xfId="0" applyFont="1" applyFill="1" applyAlignment="1">
      <alignment horizontal="center"/>
    </xf>
    <xf numFmtId="4" fontId="0" fillId="10" borderId="0" xfId="0" applyNumberFormat="1" applyFill="1"/>
    <xf numFmtId="10" fontId="0" fillId="10" borderId="0" xfId="0" applyNumberFormat="1" applyFill="1"/>
    <xf numFmtId="0" fontId="0" fillId="10" borderId="0" xfId="0" applyFill="1"/>
    <xf numFmtId="164" fontId="0" fillId="10" borderId="0" xfId="0" applyNumberFormat="1" applyFill="1"/>
    <xf numFmtId="2" fontId="0" fillId="0" borderId="0" xfId="0" applyNumberFormat="1"/>
    <xf numFmtId="10" fontId="2" fillId="5" borderId="0" xfId="0" applyNumberFormat="1" applyFont="1" applyFill="1" applyAlignment="1">
      <alignment horizontal="center"/>
    </xf>
    <xf numFmtId="10" fontId="0" fillId="0" borderId="0" xfId="0" applyNumberFormat="1"/>
    <xf numFmtId="0" fontId="8" fillId="0" borderId="0" xfId="0" applyFont="1"/>
    <xf numFmtId="0" fontId="2" fillId="0" borderId="0" xfId="0" applyFont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0" fontId="0" fillId="11" borderId="0" xfId="0" applyNumberFormat="1" applyFill="1"/>
    <xf numFmtId="164" fontId="0" fillId="7" borderId="0" xfId="0" applyNumberFormat="1" applyFill="1"/>
    <xf numFmtId="10" fontId="0" fillId="7" borderId="0" xfId="0" applyNumberFormat="1" applyFill="1"/>
    <xf numFmtId="0" fontId="3" fillId="8" borderId="0" xfId="0" applyFont="1" applyFill="1" applyAlignment="1">
      <alignment horizontal="center"/>
    </xf>
    <xf numFmtId="0" fontId="0" fillId="0" borderId="0" xfId="0"/>
    <xf numFmtId="0" fontId="9" fillId="12" borderId="0" xfId="0" applyFont="1" applyFill="1"/>
    <xf numFmtId="0" fontId="9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workbookViewId="0">
      <selection activeCell="E14" sqref="E14"/>
    </sheetView>
  </sheetViews>
  <sheetFormatPr defaultRowHeight="14.4"/>
  <cols>
    <col min="1" max="2" width="20" customWidth="1"/>
    <col min="3" max="3" width="21.21875" bestFit="1" customWidth="1"/>
    <col min="4" max="10" width="2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>
        <v>1</v>
      </c>
      <c r="B2" t="s">
        <v>10</v>
      </c>
      <c r="C2" t="s">
        <v>11</v>
      </c>
      <c r="D2" t="s">
        <v>12</v>
      </c>
      <c r="E2">
        <v>90278.31</v>
      </c>
      <c r="F2">
        <v>90278.31</v>
      </c>
      <c r="G2" t="s">
        <v>13</v>
      </c>
      <c r="H2" t="s">
        <v>14</v>
      </c>
      <c r="I2" t="s">
        <v>15</v>
      </c>
      <c r="L2" s="16" t="str">
        <f>IF(A2="","Blank",IF(COUNTIF($A$2:A2,A2)=1,"Unique","Duplicate"))</f>
        <v>Unique</v>
      </c>
      <c r="M2">
        <f>IF(L2="Unique",COUNTIF($L$2:L2,"Unique"),"")</f>
        <v>1</v>
      </c>
    </row>
    <row r="3" spans="1:13">
      <c r="A3">
        <v>2</v>
      </c>
      <c r="B3" t="s">
        <v>16</v>
      </c>
      <c r="C3" t="s">
        <v>17</v>
      </c>
      <c r="D3" t="s">
        <v>12</v>
      </c>
      <c r="E3">
        <v>8426.68</v>
      </c>
      <c r="F3">
        <v>8426.68</v>
      </c>
      <c r="G3" t="s">
        <v>18</v>
      </c>
      <c r="H3" t="s">
        <v>19</v>
      </c>
      <c r="I3" t="s">
        <v>15</v>
      </c>
      <c r="L3" s="16" t="str">
        <f>IF(A3="","Blank",IF(COUNTIF($A$2:A3,A3)=1,"Unique","Duplicate"))</f>
        <v>Unique</v>
      </c>
      <c r="M3">
        <f>IF(L3="Unique",COUNTIF($L$2:L3,"Unique"),"")</f>
        <v>2</v>
      </c>
    </row>
    <row r="4" spans="1:13">
      <c r="A4">
        <v>3</v>
      </c>
      <c r="C4" t="s">
        <v>20</v>
      </c>
      <c r="D4" t="s">
        <v>21</v>
      </c>
      <c r="E4">
        <v>30350.67</v>
      </c>
      <c r="F4">
        <v>29642.29</v>
      </c>
      <c r="G4" t="s">
        <v>22</v>
      </c>
      <c r="H4" t="s">
        <v>23</v>
      </c>
      <c r="I4" t="s">
        <v>24</v>
      </c>
      <c r="J4" t="s">
        <v>25</v>
      </c>
      <c r="L4" s="16" t="str">
        <f>IF(A4="","Blank",IF(COUNTIF($A$2:A4,A4)=1,"Unique","Duplicate"))</f>
        <v>Unique</v>
      </c>
      <c r="M4">
        <f>IF(L4="Unique",COUNTIF($L$2:L4,"Unique"),"")</f>
        <v>3</v>
      </c>
    </row>
    <row r="5" spans="1:13">
      <c r="A5">
        <v>4</v>
      </c>
      <c r="B5" t="s">
        <v>26</v>
      </c>
      <c r="C5" t="s">
        <v>27</v>
      </c>
      <c r="D5" t="s">
        <v>28</v>
      </c>
      <c r="E5">
        <v>115079.5</v>
      </c>
      <c r="F5">
        <v>115079.5</v>
      </c>
      <c r="G5" t="s">
        <v>13</v>
      </c>
      <c r="H5" t="s">
        <v>29</v>
      </c>
      <c r="I5" t="s">
        <v>30</v>
      </c>
      <c r="J5" t="s">
        <v>25</v>
      </c>
      <c r="L5" s="16" t="str">
        <f>IF(A5="","Blank",IF(COUNTIF($A$2:A5,A5)=1,"Unique","Duplicate"))</f>
        <v>Unique</v>
      </c>
      <c r="M5">
        <f>IF(L5="Unique",COUNTIF($L$2:L5,"Unique"),"")</f>
        <v>4</v>
      </c>
    </row>
    <row r="6" spans="1:13">
      <c r="A6">
        <v>5</v>
      </c>
      <c r="B6" t="s">
        <v>31</v>
      </c>
      <c r="C6" t="s">
        <v>32</v>
      </c>
      <c r="D6" t="s">
        <v>33</v>
      </c>
      <c r="E6">
        <v>97819.75</v>
      </c>
      <c r="F6">
        <v>93665.93</v>
      </c>
      <c r="G6" t="s">
        <v>22</v>
      </c>
      <c r="H6" t="s">
        <v>34</v>
      </c>
      <c r="I6" t="s">
        <v>15</v>
      </c>
      <c r="J6" t="s">
        <v>35</v>
      </c>
      <c r="L6" s="16" t="str">
        <f>IF(A6="","Blank",IF(COUNTIF($A$2:A6,A6)=1,"Unique","Duplicate"))</f>
        <v>Unique</v>
      </c>
      <c r="M6">
        <f>IF(L6="Unique",COUNTIF($L$2:L6,"Unique"),"")</f>
        <v>5</v>
      </c>
    </row>
    <row r="7" spans="1:13">
      <c r="A7">
        <v>6</v>
      </c>
      <c r="B7" t="s">
        <v>10</v>
      </c>
      <c r="C7" t="s">
        <v>32</v>
      </c>
      <c r="D7" t="s">
        <v>36</v>
      </c>
      <c r="E7">
        <v>104096.29</v>
      </c>
      <c r="F7">
        <v>100902.62</v>
      </c>
      <c r="G7" t="s">
        <v>22</v>
      </c>
      <c r="H7" t="s">
        <v>37</v>
      </c>
      <c r="I7" t="s">
        <v>38</v>
      </c>
      <c r="L7" s="16" t="str">
        <f>IF(A7="","Blank",IF(COUNTIF($A$2:A7,A7)=1,"Unique","Duplicate"))</f>
        <v>Unique</v>
      </c>
      <c r="M7">
        <f>IF(L7="Unique",COUNTIF($L$2:L7,"Unique"),"")</f>
        <v>6</v>
      </c>
    </row>
    <row r="8" spans="1:13">
      <c r="A8">
        <v>7</v>
      </c>
      <c r="B8" t="s">
        <v>39</v>
      </c>
      <c r="C8" t="s">
        <v>11</v>
      </c>
      <c r="D8" t="s">
        <v>21</v>
      </c>
      <c r="E8" t="s">
        <v>40</v>
      </c>
      <c r="F8">
        <v>34953.67</v>
      </c>
      <c r="G8" t="s">
        <v>41</v>
      </c>
      <c r="H8" t="s">
        <v>42</v>
      </c>
      <c r="I8" t="s">
        <v>43</v>
      </c>
      <c r="J8" t="s">
        <v>35</v>
      </c>
      <c r="L8" s="16" t="str">
        <f>IF(A8="","Blank",IF(COUNTIF($A$2:A8,A8)=1,"Unique","Duplicate"))</f>
        <v>Unique</v>
      </c>
      <c r="M8">
        <f>IF(L8="Unique",COUNTIF($L$2:L8,"Unique"),"")</f>
        <v>7</v>
      </c>
    </row>
    <row r="9" spans="1:13">
      <c r="A9">
        <v>8</v>
      </c>
      <c r="B9" t="s">
        <v>10</v>
      </c>
      <c r="C9" t="s">
        <v>11</v>
      </c>
      <c r="D9" t="s">
        <v>44</v>
      </c>
      <c r="E9">
        <v>78022.5</v>
      </c>
      <c r="F9">
        <v>73117.75</v>
      </c>
      <c r="G9" t="s">
        <v>45</v>
      </c>
      <c r="H9" t="s">
        <v>29</v>
      </c>
      <c r="I9" t="s">
        <v>38</v>
      </c>
      <c r="J9" t="s">
        <v>46</v>
      </c>
      <c r="L9" s="16" t="str">
        <f>IF(A9="","Blank",IF(COUNTIF($A$2:A9,A9)=1,"Unique","Duplicate"))</f>
        <v>Unique</v>
      </c>
      <c r="M9">
        <f>IF(L9="Unique",COUNTIF($L$2:L9,"Unique"),"")</f>
        <v>8</v>
      </c>
    </row>
    <row r="10" spans="1:13">
      <c r="A10">
        <v>9</v>
      </c>
      <c r="B10" t="s">
        <v>39</v>
      </c>
      <c r="C10" t="s">
        <v>47</v>
      </c>
      <c r="D10" t="s">
        <v>48</v>
      </c>
      <c r="E10">
        <v>93356.06</v>
      </c>
      <c r="F10">
        <v>93356.06</v>
      </c>
      <c r="G10" t="s">
        <v>22</v>
      </c>
      <c r="H10" t="s">
        <v>49</v>
      </c>
      <c r="I10" t="s">
        <v>24</v>
      </c>
      <c r="J10" t="s">
        <v>35</v>
      </c>
      <c r="L10" s="16" t="str">
        <f>IF(A10="","Blank",IF(COUNTIF($A$2:A10,A10)=1,"Unique","Duplicate"))</f>
        <v>Unique</v>
      </c>
      <c r="M10">
        <f>IF(L10="Unique",COUNTIF($L$2:L10,"Unique"),"")</f>
        <v>9</v>
      </c>
    </row>
    <row r="11" spans="1:13">
      <c r="A11">
        <v>10</v>
      </c>
      <c r="B11" t="s">
        <v>50</v>
      </c>
      <c r="C11" t="s">
        <v>51</v>
      </c>
      <c r="D11" t="s">
        <v>36</v>
      </c>
      <c r="E11">
        <v>113434.62</v>
      </c>
      <c r="F11">
        <v>117067.64</v>
      </c>
      <c r="G11" t="s">
        <v>45</v>
      </c>
      <c r="H11" t="s">
        <v>29</v>
      </c>
      <c r="I11" t="s">
        <v>52</v>
      </c>
      <c r="L11" s="16" t="str">
        <f>IF(A11="","Blank",IF(COUNTIF($A$2:A11,A11)=1,"Unique","Duplicate"))</f>
        <v>Unique</v>
      </c>
      <c r="M11">
        <f>IF(L11="Unique",COUNTIF($L$2:L11,"Unique"),"")</f>
        <v>10</v>
      </c>
    </row>
    <row r="12" spans="1:13">
      <c r="A12">
        <v>11</v>
      </c>
      <c r="B12" t="s">
        <v>26</v>
      </c>
      <c r="C12" t="s">
        <v>27</v>
      </c>
      <c r="D12" t="s">
        <v>28</v>
      </c>
      <c r="E12">
        <v>90673.73</v>
      </c>
      <c r="F12">
        <v>88161.25</v>
      </c>
      <c r="G12" t="s">
        <v>22</v>
      </c>
      <c r="H12" t="s">
        <v>29</v>
      </c>
      <c r="I12" t="s">
        <v>53</v>
      </c>
      <c r="L12" s="16" t="str">
        <f>IF(A12="","Blank",IF(COUNTIF($A$2:A12,A12)=1,"Unique","Duplicate"))</f>
        <v>Unique</v>
      </c>
      <c r="M12">
        <f>IF(L12="Unique",COUNTIF($L$2:L12,"Unique"),"")</f>
        <v>11</v>
      </c>
    </row>
    <row r="13" spans="1:13">
      <c r="A13">
        <v>12</v>
      </c>
      <c r="B13" t="s">
        <v>54</v>
      </c>
      <c r="C13" t="s">
        <v>20</v>
      </c>
      <c r="D13" t="s">
        <v>55</v>
      </c>
      <c r="E13">
        <v>15454.58</v>
      </c>
      <c r="G13" t="s">
        <v>13</v>
      </c>
      <c r="H13" t="s">
        <v>56</v>
      </c>
      <c r="I13" t="s">
        <v>57</v>
      </c>
      <c r="J13" t="s">
        <v>58</v>
      </c>
      <c r="L13" s="16" t="str">
        <f>IF(A13="","Blank",IF(COUNTIF($A$2:A13,A13)=1,"Unique","Duplicate"))</f>
        <v>Unique</v>
      </c>
      <c r="M13">
        <f>IF(L13="Unique",COUNTIF($L$2:L13,"Unique"),"")</f>
        <v>12</v>
      </c>
    </row>
    <row r="14" spans="1:13">
      <c r="A14">
        <v>13</v>
      </c>
      <c r="B14" t="s">
        <v>59</v>
      </c>
      <c r="C14" t="s">
        <v>11</v>
      </c>
      <c r="D14" t="s">
        <v>21</v>
      </c>
      <c r="E14">
        <v>48886.22</v>
      </c>
      <c r="F14">
        <v>51185.73</v>
      </c>
      <c r="G14" t="s">
        <v>18</v>
      </c>
      <c r="H14" t="s">
        <v>19</v>
      </c>
      <c r="I14" t="s">
        <v>30</v>
      </c>
      <c r="J14" t="s">
        <v>46</v>
      </c>
      <c r="L14" s="16" t="str">
        <f>IF(A14="","Blank",IF(COUNTIF($A$2:A14,A14)=1,"Unique","Duplicate"))</f>
        <v>Unique</v>
      </c>
      <c r="M14">
        <f>IF(L14="Unique",COUNTIF($L$2:L14,"Unique"),"")</f>
        <v>13</v>
      </c>
    </row>
    <row r="15" spans="1:13">
      <c r="A15">
        <v>14</v>
      </c>
      <c r="B15" t="s">
        <v>26</v>
      </c>
      <c r="C15" t="s">
        <v>47</v>
      </c>
      <c r="D15" t="s">
        <v>60</v>
      </c>
      <c r="E15">
        <v>38752.51</v>
      </c>
      <c r="F15">
        <v>38752.51</v>
      </c>
      <c r="G15" t="s">
        <v>22</v>
      </c>
      <c r="H15" t="s">
        <v>61</v>
      </c>
      <c r="I15" t="s">
        <v>15</v>
      </c>
      <c r="L15" s="16" t="str">
        <f>IF(A15="","Blank",IF(COUNTIF($A$2:A15,A15)=1,"Unique","Duplicate"))</f>
        <v>Unique</v>
      </c>
      <c r="M15">
        <f>IF(L15="Unique",COUNTIF($L$2:L15,"Unique"),"")</f>
        <v>14</v>
      </c>
    </row>
    <row r="16" spans="1:13">
      <c r="A16">
        <v>14</v>
      </c>
      <c r="B16" t="s">
        <v>26</v>
      </c>
      <c r="C16" t="s">
        <v>47</v>
      </c>
      <c r="D16" t="s">
        <v>60</v>
      </c>
      <c r="E16">
        <v>38752.51</v>
      </c>
      <c r="F16">
        <v>38752.51</v>
      </c>
      <c r="G16" t="s">
        <v>22</v>
      </c>
      <c r="H16" t="s">
        <v>61</v>
      </c>
      <c r="I16" t="s">
        <v>15</v>
      </c>
      <c r="L16" s="16" t="str">
        <f>IF(A16="","Blank",IF(COUNTIF($A$2:A16,A16)=1,"Unique","Duplicate"))</f>
        <v>Duplicate</v>
      </c>
      <c r="M16" t="str">
        <f>IF(L16="Unique",COUNTIF($L$2:L16,"Unique"),"")</f>
        <v/>
      </c>
    </row>
    <row r="17" spans="1:13">
      <c r="A17">
        <v>15</v>
      </c>
      <c r="B17" t="s">
        <v>62</v>
      </c>
      <c r="C17" t="s">
        <v>11</v>
      </c>
      <c r="D17" t="s">
        <v>48</v>
      </c>
      <c r="E17">
        <v>76909.52</v>
      </c>
      <c r="F17">
        <v>80411.7</v>
      </c>
      <c r="G17" t="s">
        <v>13</v>
      </c>
      <c r="H17" t="s">
        <v>56</v>
      </c>
      <c r="I17" t="s">
        <v>53</v>
      </c>
      <c r="L17" s="16" t="str">
        <f>IF(A17="","Blank",IF(COUNTIF($A$2:A17,A17)=1,"Unique","Duplicate"))</f>
        <v>Unique</v>
      </c>
      <c r="M17">
        <f>IF(L17="Unique",COUNTIF($L$2:L17,"Unique"),"")</f>
        <v>15</v>
      </c>
    </row>
    <row r="18" spans="1:13">
      <c r="A18">
        <v>16</v>
      </c>
      <c r="B18" t="s">
        <v>63</v>
      </c>
      <c r="C18" t="s">
        <v>20</v>
      </c>
      <c r="D18" t="s">
        <v>36</v>
      </c>
      <c r="E18">
        <v>5065.7700000000004</v>
      </c>
      <c r="F18">
        <v>5065.7700000000004</v>
      </c>
      <c r="G18" t="s">
        <v>22</v>
      </c>
      <c r="H18" t="s">
        <v>14</v>
      </c>
      <c r="I18" t="s">
        <v>53</v>
      </c>
      <c r="J18" t="s">
        <v>35</v>
      </c>
      <c r="L18" s="16" t="str">
        <f>IF(A18="","Blank",IF(COUNTIF($A$2:A18,A18)=1,"Unique","Duplicate"))</f>
        <v>Unique</v>
      </c>
      <c r="M18">
        <f>IF(L18="Unique",COUNTIF($L$2:L18,"Unique"),"")</f>
        <v>16</v>
      </c>
    </row>
    <row r="19" spans="1:13">
      <c r="A19">
        <v>17</v>
      </c>
      <c r="B19" t="s">
        <v>39</v>
      </c>
      <c r="C19" t="s">
        <v>64</v>
      </c>
      <c r="D19" t="s">
        <v>28</v>
      </c>
      <c r="E19">
        <v>105971.1</v>
      </c>
      <c r="F19">
        <v>107666.19</v>
      </c>
      <c r="G19" t="s">
        <v>45</v>
      </c>
      <c r="H19" t="s">
        <v>34</v>
      </c>
      <c r="I19" t="s">
        <v>15</v>
      </c>
      <c r="L19" s="16" t="str">
        <f>IF(A19="","Blank",IF(COUNTIF($A$2:A19,A19)=1,"Unique","Duplicate"))</f>
        <v>Unique</v>
      </c>
      <c r="M19">
        <f>IF(L19="Unique",COUNTIF($L$2:L19,"Unique"),"")</f>
        <v>17</v>
      </c>
    </row>
    <row r="20" spans="1:13">
      <c r="A20">
        <v>18</v>
      </c>
      <c r="B20" t="s">
        <v>54</v>
      </c>
      <c r="C20" t="s">
        <v>65</v>
      </c>
      <c r="D20" t="s">
        <v>66</v>
      </c>
      <c r="E20">
        <v>23989.599999999999</v>
      </c>
      <c r="F20">
        <v>23089.07</v>
      </c>
      <c r="G20" t="s">
        <v>13</v>
      </c>
      <c r="H20" t="s">
        <v>67</v>
      </c>
      <c r="I20" t="s">
        <v>43</v>
      </c>
      <c r="J20" t="s">
        <v>35</v>
      </c>
      <c r="L20" s="16" t="str">
        <f>IF(A20="","Blank",IF(COUNTIF($A$2:A20,A20)=1,"Unique","Duplicate"))</f>
        <v>Unique</v>
      </c>
      <c r="M20">
        <f>IF(L20="Unique",COUNTIF($L$2:L20,"Unique"),"")</f>
        <v>18</v>
      </c>
    </row>
    <row r="21" spans="1:13">
      <c r="A21">
        <v>19</v>
      </c>
      <c r="B21" t="s">
        <v>68</v>
      </c>
      <c r="C21" t="s">
        <v>47</v>
      </c>
      <c r="D21" t="s">
        <v>55</v>
      </c>
      <c r="E21">
        <v>108455.62</v>
      </c>
      <c r="F21">
        <v>108455.62</v>
      </c>
      <c r="G21" t="s">
        <v>13</v>
      </c>
      <c r="H21" t="s">
        <v>37</v>
      </c>
      <c r="I21" t="s">
        <v>30</v>
      </c>
      <c r="J21" t="s">
        <v>25</v>
      </c>
      <c r="L21" s="16" t="str">
        <f>IF(A21="","Blank",IF(COUNTIF($A$2:A21,A21)=1,"Unique","Duplicate"))</f>
        <v>Unique</v>
      </c>
      <c r="M21">
        <f>IF(L21="Unique",COUNTIF($L$2:L21,"Unique"),"")</f>
        <v>19</v>
      </c>
    </row>
    <row r="22" spans="1:13">
      <c r="A22">
        <v>20</v>
      </c>
      <c r="B22" t="s">
        <v>69</v>
      </c>
      <c r="C22" t="s">
        <v>32</v>
      </c>
      <c r="D22" t="s">
        <v>66</v>
      </c>
      <c r="E22">
        <v>31463.19</v>
      </c>
      <c r="F22">
        <v>31463.19</v>
      </c>
      <c r="G22" t="s">
        <v>13</v>
      </c>
      <c r="H22" t="s">
        <v>70</v>
      </c>
      <c r="I22" t="s">
        <v>43</v>
      </c>
      <c r="L22" s="16" t="str">
        <f>IF(A22="","Blank",IF(COUNTIF($A$2:A22,A22)=1,"Unique","Duplicate"))</f>
        <v>Unique</v>
      </c>
      <c r="M22">
        <f>IF(L22="Unique",COUNTIF($L$2:L22,"Unique"),"")</f>
        <v>20</v>
      </c>
    </row>
    <row r="23" spans="1:13">
      <c r="A23">
        <v>21</v>
      </c>
      <c r="B23" t="s">
        <v>71</v>
      </c>
      <c r="C23" t="s">
        <v>47</v>
      </c>
      <c r="D23" t="s">
        <v>60</v>
      </c>
      <c r="E23">
        <v>64127.95</v>
      </c>
      <c r="F23">
        <v>64127.95</v>
      </c>
      <c r="G23" t="s">
        <v>45</v>
      </c>
      <c r="H23" t="s">
        <v>72</v>
      </c>
      <c r="I23" t="s">
        <v>15</v>
      </c>
      <c r="L23" s="16" t="str">
        <f>IF(A23="","Blank",IF(COUNTIF($A$2:A23,A23)=1,"Unique","Duplicate"))</f>
        <v>Unique</v>
      </c>
      <c r="M23">
        <f>IF(L23="Unique",COUNTIF($L$2:L23,"Unique"),"")</f>
        <v>21</v>
      </c>
    </row>
    <row r="24" spans="1:13">
      <c r="A24">
        <v>22</v>
      </c>
      <c r="B24" t="s">
        <v>16</v>
      </c>
      <c r="C24" t="s">
        <v>32</v>
      </c>
      <c r="D24" t="s">
        <v>55</v>
      </c>
      <c r="E24">
        <v>32944.68</v>
      </c>
      <c r="F24">
        <v>32944.68</v>
      </c>
      <c r="G24" t="s">
        <v>22</v>
      </c>
      <c r="H24" t="s">
        <v>72</v>
      </c>
      <c r="I24" t="s">
        <v>30</v>
      </c>
      <c r="L24" s="16" t="str">
        <f>IF(A24="","Blank",IF(COUNTIF($A$2:A24,A24)=1,"Unique","Duplicate"))</f>
        <v>Unique</v>
      </c>
      <c r="M24">
        <f>IF(L24="Unique",COUNTIF($L$2:L24,"Unique"),"")</f>
        <v>22</v>
      </c>
    </row>
    <row r="25" spans="1:13">
      <c r="A25">
        <v>23</v>
      </c>
      <c r="B25" t="s">
        <v>73</v>
      </c>
      <c r="C25" t="s">
        <v>47</v>
      </c>
      <c r="D25" t="s">
        <v>21</v>
      </c>
      <c r="E25" t="s">
        <v>74</v>
      </c>
      <c r="F25">
        <v>52997.760000000002</v>
      </c>
      <c r="G25" t="s">
        <v>13</v>
      </c>
      <c r="H25" t="s">
        <v>70</v>
      </c>
      <c r="I25" t="s">
        <v>24</v>
      </c>
      <c r="J25" t="s">
        <v>25</v>
      </c>
      <c r="L25" s="16" t="str">
        <f>IF(A25="","Blank",IF(COUNTIF($A$2:A25,A25)=1,"Unique","Duplicate"))</f>
        <v>Unique</v>
      </c>
      <c r="M25">
        <f>IF(L25="Unique",COUNTIF($L$2:L25,"Unique"),"")</f>
        <v>23</v>
      </c>
    </row>
    <row r="26" spans="1:13">
      <c r="A26">
        <v>24</v>
      </c>
      <c r="B26" t="s">
        <v>75</v>
      </c>
      <c r="C26" t="s">
        <v>51</v>
      </c>
      <c r="D26" t="s">
        <v>28</v>
      </c>
      <c r="E26">
        <v>26874.02</v>
      </c>
      <c r="F26">
        <v>26874.02</v>
      </c>
      <c r="G26" t="s">
        <v>22</v>
      </c>
      <c r="H26" t="s">
        <v>23</v>
      </c>
      <c r="I26" t="s">
        <v>38</v>
      </c>
      <c r="J26" t="s">
        <v>76</v>
      </c>
      <c r="L26" s="16" t="str">
        <f>IF(A26="","Blank",IF(COUNTIF($A$2:A26,A26)=1,"Unique","Duplicate"))</f>
        <v>Unique</v>
      </c>
      <c r="M26">
        <f>IF(L26="Unique",COUNTIF($L$2:L26,"Unique"),"")</f>
        <v>24</v>
      </c>
    </row>
    <row r="27" spans="1:13">
      <c r="A27">
        <v>25</v>
      </c>
      <c r="B27" t="s">
        <v>39</v>
      </c>
      <c r="C27" t="s">
        <v>11</v>
      </c>
      <c r="D27" t="s">
        <v>55</v>
      </c>
      <c r="E27">
        <v>97922.559999999998</v>
      </c>
      <c r="F27">
        <v>99572.91</v>
      </c>
      <c r="G27" t="s">
        <v>18</v>
      </c>
      <c r="H27" t="s">
        <v>19</v>
      </c>
      <c r="I27" t="s">
        <v>30</v>
      </c>
      <c r="L27" s="16" t="str">
        <f>IF(A27="","Blank",IF(COUNTIF($A$2:A27,A27)=1,"Unique","Duplicate"))</f>
        <v>Unique</v>
      </c>
      <c r="M27">
        <f>IF(L27="Unique",COUNTIF($L$2:L27,"Unique"),"")</f>
        <v>25</v>
      </c>
    </row>
    <row r="28" spans="1:13">
      <c r="A28">
        <v>26</v>
      </c>
      <c r="B28" t="s">
        <v>77</v>
      </c>
      <c r="C28" t="s">
        <v>17</v>
      </c>
      <c r="D28" t="s">
        <v>55</v>
      </c>
      <c r="E28">
        <v>60356.22</v>
      </c>
      <c r="F28">
        <v>64772.55</v>
      </c>
      <c r="G28" t="s">
        <v>13</v>
      </c>
      <c r="H28" t="s">
        <v>29</v>
      </c>
      <c r="I28" t="s">
        <v>78</v>
      </c>
      <c r="J28" t="s">
        <v>58</v>
      </c>
      <c r="L28" s="16" t="str">
        <f>IF(A28="","Blank",IF(COUNTIF($A$2:A28,A28)=1,"Unique","Duplicate"))</f>
        <v>Unique</v>
      </c>
      <c r="M28">
        <f>IF(L28="Unique",COUNTIF($L$2:L28,"Unique"),"")</f>
        <v>26</v>
      </c>
    </row>
    <row r="29" spans="1:13">
      <c r="A29">
        <v>27</v>
      </c>
      <c r="B29" t="s">
        <v>26</v>
      </c>
      <c r="C29" t="s">
        <v>65</v>
      </c>
      <c r="D29" t="s">
        <v>33</v>
      </c>
      <c r="E29">
        <v>53645.86</v>
      </c>
      <c r="F29">
        <v>57920.34</v>
      </c>
      <c r="G29" t="s">
        <v>18</v>
      </c>
      <c r="H29" t="s">
        <v>79</v>
      </c>
      <c r="I29" t="s">
        <v>57</v>
      </c>
      <c r="L29" s="16" t="str">
        <f>IF(A29="","Blank",IF(COUNTIF($A$2:A29,A29)=1,"Unique","Duplicate"))</f>
        <v>Unique</v>
      </c>
      <c r="M29">
        <f>IF(L29="Unique",COUNTIF($L$2:L29,"Unique"),"")</f>
        <v>27</v>
      </c>
    </row>
    <row r="30" spans="1:13">
      <c r="A30">
        <v>28</v>
      </c>
      <c r="B30" t="s">
        <v>80</v>
      </c>
      <c r="C30" t="s">
        <v>51</v>
      </c>
      <c r="D30" t="s">
        <v>12</v>
      </c>
      <c r="E30">
        <v>71605.73</v>
      </c>
      <c r="F30">
        <v>69626.429999999993</v>
      </c>
      <c r="G30" t="s">
        <v>22</v>
      </c>
      <c r="H30" t="s">
        <v>70</v>
      </c>
      <c r="I30" t="s">
        <v>81</v>
      </c>
      <c r="J30" t="s">
        <v>76</v>
      </c>
      <c r="L30" s="16" t="str">
        <f>IF(A30="","Blank",IF(COUNTIF($A$2:A30,A30)=1,"Unique","Duplicate"))</f>
        <v>Unique</v>
      </c>
      <c r="M30">
        <f>IF(L30="Unique",COUNTIF($L$2:L30,"Unique"),"")</f>
        <v>28</v>
      </c>
    </row>
    <row r="31" spans="1:13">
      <c r="A31">
        <v>29</v>
      </c>
      <c r="B31" t="s">
        <v>62</v>
      </c>
      <c r="C31" t="s">
        <v>20</v>
      </c>
      <c r="D31" t="s">
        <v>82</v>
      </c>
      <c r="E31">
        <v>11541.15</v>
      </c>
      <c r="F31">
        <v>11305.64</v>
      </c>
      <c r="G31" t="s">
        <v>13</v>
      </c>
      <c r="H31" t="s">
        <v>34</v>
      </c>
      <c r="I31" t="s">
        <v>43</v>
      </c>
      <c r="J31" t="s">
        <v>58</v>
      </c>
      <c r="L31" s="16" t="str">
        <f>IF(A31="","Blank",IF(COUNTIF($A$2:A31,A31)=1,"Unique","Duplicate"))</f>
        <v>Unique</v>
      </c>
      <c r="M31">
        <f>IF(L31="Unique",COUNTIF($L$2:L31,"Unique"),"")</f>
        <v>29</v>
      </c>
    </row>
    <row r="32" spans="1:13">
      <c r="A32">
        <v>30</v>
      </c>
      <c r="B32" t="s">
        <v>75</v>
      </c>
      <c r="C32" t="s">
        <v>32</v>
      </c>
      <c r="D32" t="s">
        <v>28</v>
      </c>
      <c r="E32">
        <v>71575.69</v>
      </c>
      <c r="F32">
        <v>71575.69</v>
      </c>
      <c r="G32" t="s">
        <v>13</v>
      </c>
      <c r="H32" t="s">
        <v>83</v>
      </c>
      <c r="I32" t="s">
        <v>81</v>
      </c>
      <c r="J32" t="s">
        <v>84</v>
      </c>
      <c r="L32" s="16" t="str">
        <f>IF(A32="","Blank",IF(COUNTIF($A$2:A32,A32)=1,"Unique","Duplicate"))</f>
        <v>Unique</v>
      </c>
      <c r="M32">
        <f>IF(L32="Unique",COUNTIF($L$2:L32,"Unique"),"")</f>
        <v>30</v>
      </c>
    </row>
    <row r="33" spans="1:13">
      <c r="A33">
        <v>31</v>
      </c>
      <c r="B33" t="s">
        <v>62</v>
      </c>
      <c r="C33" t="s">
        <v>47</v>
      </c>
      <c r="D33" t="s">
        <v>36</v>
      </c>
      <c r="E33">
        <v>34988.050000000003</v>
      </c>
      <c r="F33">
        <v>32958.49</v>
      </c>
      <c r="G33" t="s">
        <v>85</v>
      </c>
      <c r="H33" t="s">
        <v>29</v>
      </c>
      <c r="I33" t="s">
        <v>57</v>
      </c>
      <c r="J33" t="s">
        <v>35</v>
      </c>
      <c r="L33" s="16" t="str">
        <f>IF(A33="","Blank",IF(COUNTIF($A$2:A33,A33)=1,"Unique","Duplicate"))</f>
        <v>Unique</v>
      </c>
      <c r="M33">
        <f>IF(L33="Unique",COUNTIF($L$2:L33,"Unique"),"")</f>
        <v>31</v>
      </c>
    </row>
    <row r="34" spans="1:13">
      <c r="A34">
        <v>32</v>
      </c>
      <c r="B34" t="s">
        <v>86</v>
      </c>
      <c r="C34" t="s">
        <v>47</v>
      </c>
      <c r="D34" t="s">
        <v>36</v>
      </c>
      <c r="E34">
        <v>91464.42</v>
      </c>
      <c r="F34">
        <v>91464.42</v>
      </c>
      <c r="G34" t="s">
        <v>45</v>
      </c>
      <c r="H34" t="s">
        <v>14</v>
      </c>
      <c r="I34" t="s">
        <v>30</v>
      </c>
      <c r="J34" t="s">
        <v>46</v>
      </c>
      <c r="L34" s="16" t="str">
        <f>IF(A34="","Blank",IF(COUNTIF($A$2:A34,A34)=1,"Unique","Duplicate"))</f>
        <v>Unique</v>
      </c>
      <c r="M34">
        <f>IF(L34="Unique",COUNTIF($L$2:L34,"Unique"),"")</f>
        <v>32</v>
      </c>
    </row>
    <row r="35" spans="1:13">
      <c r="A35">
        <v>33</v>
      </c>
      <c r="B35" t="s">
        <v>87</v>
      </c>
      <c r="C35" t="s">
        <v>20</v>
      </c>
      <c r="D35" t="s">
        <v>33</v>
      </c>
      <c r="E35">
        <v>20232.509999999998</v>
      </c>
      <c r="F35">
        <v>20232.509999999998</v>
      </c>
      <c r="G35" t="s">
        <v>13</v>
      </c>
      <c r="H35" t="s">
        <v>37</v>
      </c>
      <c r="I35" t="s">
        <v>53</v>
      </c>
      <c r="J35" t="s">
        <v>35</v>
      </c>
      <c r="L35" s="16" t="str">
        <f>IF(A35="","Blank",IF(COUNTIF($A$2:A35,A35)=1,"Unique","Duplicate"))</f>
        <v>Unique</v>
      </c>
      <c r="M35">
        <f>IF(L35="Unique",COUNTIF($L$2:L35,"Unique"),"")</f>
        <v>33</v>
      </c>
    </row>
    <row r="36" spans="1:13">
      <c r="A36">
        <v>34</v>
      </c>
      <c r="B36" t="s">
        <v>77</v>
      </c>
      <c r="C36" t="s">
        <v>65</v>
      </c>
      <c r="D36" t="s">
        <v>48</v>
      </c>
      <c r="E36">
        <v>67470.070000000007</v>
      </c>
      <c r="G36" t="s">
        <v>18</v>
      </c>
      <c r="H36" t="s">
        <v>19</v>
      </c>
      <c r="I36" t="s">
        <v>15</v>
      </c>
      <c r="J36" t="s">
        <v>35</v>
      </c>
      <c r="L36" s="16" t="str">
        <f>IF(A36="","Blank",IF(COUNTIF($A$2:A36,A36)=1,"Unique","Duplicate"))</f>
        <v>Unique</v>
      </c>
      <c r="M36">
        <f>IF(L36="Unique",COUNTIF($L$2:L36,"Unique"),"")</f>
        <v>34</v>
      </c>
    </row>
    <row r="37" spans="1:13">
      <c r="A37">
        <v>35</v>
      </c>
      <c r="B37" t="s">
        <v>75</v>
      </c>
      <c r="C37" t="s">
        <v>27</v>
      </c>
      <c r="D37" t="s">
        <v>33</v>
      </c>
      <c r="E37">
        <v>18274.3</v>
      </c>
      <c r="F37">
        <v>18274.3</v>
      </c>
      <c r="G37" t="s">
        <v>18</v>
      </c>
      <c r="H37" t="s">
        <v>56</v>
      </c>
      <c r="I37" t="s">
        <v>38</v>
      </c>
      <c r="J37" t="s">
        <v>35</v>
      </c>
      <c r="L37" s="16" t="str">
        <f>IF(A37="","Blank",IF(COUNTIF($A$2:A37,A37)=1,"Unique","Duplicate"))</f>
        <v>Unique</v>
      </c>
      <c r="M37">
        <f>IF(L37="Unique",COUNTIF($L$2:L37,"Unique"),"")</f>
        <v>35</v>
      </c>
    </row>
    <row r="38" spans="1:13">
      <c r="A38">
        <v>36</v>
      </c>
      <c r="B38" t="s">
        <v>59</v>
      </c>
      <c r="C38" t="s">
        <v>51</v>
      </c>
      <c r="D38" t="s">
        <v>88</v>
      </c>
      <c r="E38">
        <v>44431.23</v>
      </c>
      <c r="F38">
        <v>43529.45</v>
      </c>
      <c r="G38" t="s">
        <v>18</v>
      </c>
      <c r="H38" t="s">
        <v>79</v>
      </c>
      <c r="I38" t="s">
        <v>38</v>
      </c>
      <c r="L38" s="16" t="str">
        <f>IF(A38="","Blank",IF(COUNTIF($A$2:A38,A38)=1,"Unique","Duplicate"))</f>
        <v>Unique</v>
      </c>
      <c r="M38">
        <f>IF(L38="Unique",COUNTIF($L$2:L38,"Unique"),"")</f>
        <v>36</v>
      </c>
    </row>
    <row r="39" spans="1:13">
      <c r="A39">
        <v>37</v>
      </c>
      <c r="B39" t="s">
        <v>50</v>
      </c>
      <c r="C39" t="s">
        <v>17</v>
      </c>
      <c r="D39" t="s">
        <v>48</v>
      </c>
      <c r="E39">
        <v>36818.230000000003</v>
      </c>
      <c r="F39">
        <v>36818.230000000003</v>
      </c>
      <c r="G39" t="s">
        <v>13</v>
      </c>
      <c r="H39" t="s">
        <v>61</v>
      </c>
      <c r="I39" t="s">
        <v>57</v>
      </c>
      <c r="J39" t="s">
        <v>76</v>
      </c>
      <c r="L39" s="16" t="str">
        <f>IF(A39="","Blank",IF(COUNTIF($A$2:A39,A39)=1,"Unique","Duplicate"))</f>
        <v>Unique</v>
      </c>
      <c r="M39">
        <f>IF(L39="Unique",COUNTIF($L$2:L39,"Unique"),"")</f>
        <v>37</v>
      </c>
    </row>
    <row r="40" spans="1:13">
      <c r="A40">
        <v>38</v>
      </c>
      <c r="B40" t="s">
        <v>63</v>
      </c>
      <c r="C40" t="s">
        <v>17</v>
      </c>
      <c r="D40" t="s">
        <v>66</v>
      </c>
      <c r="E40">
        <v>6112.02</v>
      </c>
      <c r="F40">
        <v>6112.02</v>
      </c>
      <c r="G40" t="s">
        <v>13</v>
      </c>
      <c r="H40" t="s">
        <v>67</v>
      </c>
      <c r="I40" t="s">
        <v>78</v>
      </c>
      <c r="J40" t="s">
        <v>25</v>
      </c>
      <c r="L40" s="16" t="str">
        <f>IF(A40="","Blank",IF(COUNTIF($A$2:A40,A40)=1,"Unique","Duplicate"))</f>
        <v>Unique</v>
      </c>
      <c r="M40">
        <f>IF(L40="Unique",COUNTIF($L$2:L40,"Unique"),"")</f>
        <v>38</v>
      </c>
    </row>
    <row r="41" spans="1:13">
      <c r="A41">
        <v>39</v>
      </c>
      <c r="B41" t="s">
        <v>16</v>
      </c>
      <c r="C41" t="s">
        <v>20</v>
      </c>
      <c r="D41" t="s">
        <v>82</v>
      </c>
      <c r="E41">
        <v>54425.47</v>
      </c>
      <c r="F41">
        <v>54425.47</v>
      </c>
      <c r="G41" t="s">
        <v>41</v>
      </c>
      <c r="H41" t="s">
        <v>70</v>
      </c>
      <c r="I41" t="s">
        <v>53</v>
      </c>
      <c r="L41" s="16" t="str">
        <f>IF(A41="","Blank",IF(COUNTIF($A$2:A41,A41)=1,"Unique","Duplicate"))</f>
        <v>Unique</v>
      </c>
      <c r="M41">
        <f>IF(L41="Unique",COUNTIF($L$2:L41,"Unique"),"")</f>
        <v>39</v>
      </c>
    </row>
    <row r="42" spans="1:13">
      <c r="A42">
        <v>40</v>
      </c>
      <c r="B42" t="s">
        <v>39</v>
      </c>
      <c r="C42" t="s">
        <v>11</v>
      </c>
      <c r="D42" t="s">
        <v>89</v>
      </c>
      <c r="E42">
        <v>94713.37</v>
      </c>
      <c r="F42">
        <v>98354.76</v>
      </c>
      <c r="G42" t="s">
        <v>13</v>
      </c>
      <c r="H42" t="s">
        <v>56</v>
      </c>
      <c r="I42" t="s">
        <v>43</v>
      </c>
      <c r="L42" s="16" t="str">
        <f>IF(A42="","Blank",IF(COUNTIF($A$2:A42,A42)=1,"Unique","Duplicate"))</f>
        <v>Unique</v>
      </c>
      <c r="M42">
        <f>IF(L42="Unique",COUNTIF($L$2:L42,"Unique"),"")</f>
        <v>40</v>
      </c>
    </row>
    <row r="43" spans="1:13">
      <c r="A43">
        <v>41</v>
      </c>
      <c r="B43" t="s">
        <v>77</v>
      </c>
      <c r="C43" t="s">
        <v>17</v>
      </c>
      <c r="D43" t="s">
        <v>12</v>
      </c>
      <c r="E43">
        <v>25626.48</v>
      </c>
      <c r="F43">
        <v>27286.23</v>
      </c>
      <c r="G43" t="s">
        <v>22</v>
      </c>
      <c r="H43" t="s">
        <v>37</v>
      </c>
      <c r="I43" t="s">
        <v>38</v>
      </c>
      <c r="L43" s="16" t="str">
        <f>IF(A43="","Blank",IF(COUNTIF($A$2:A43,A43)=1,"Unique","Duplicate"))</f>
        <v>Unique</v>
      </c>
      <c r="M43">
        <f>IF(L43="Unique",COUNTIF($L$2:L43,"Unique"),"")</f>
        <v>41</v>
      </c>
    </row>
    <row r="44" spans="1:13">
      <c r="A44">
        <v>42</v>
      </c>
      <c r="B44" t="s">
        <v>75</v>
      </c>
      <c r="C44" t="s">
        <v>17</v>
      </c>
      <c r="D44" t="s">
        <v>48</v>
      </c>
      <c r="E44">
        <v>9453.33</v>
      </c>
      <c r="F44">
        <v>9453.33</v>
      </c>
      <c r="G44" t="s">
        <v>13</v>
      </c>
      <c r="H44" t="s">
        <v>90</v>
      </c>
      <c r="I44" t="s">
        <v>53</v>
      </c>
      <c r="J44" t="s">
        <v>35</v>
      </c>
      <c r="L44" s="16" t="str">
        <f>IF(A44="","Blank",IF(COUNTIF($A$2:A44,A44)=1,"Unique","Duplicate"))</f>
        <v>Unique</v>
      </c>
      <c r="M44">
        <f>IF(L44="Unique",COUNTIF($L$2:L44,"Unique"),"")</f>
        <v>42</v>
      </c>
    </row>
    <row r="45" spans="1:13">
      <c r="A45">
        <v>43</v>
      </c>
      <c r="B45" t="s">
        <v>39</v>
      </c>
      <c r="C45" t="s">
        <v>51</v>
      </c>
      <c r="D45" t="s">
        <v>12</v>
      </c>
      <c r="E45">
        <v>80903.820000000007</v>
      </c>
      <c r="F45">
        <v>80903.820000000007</v>
      </c>
      <c r="G45" t="s">
        <v>85</v>
      </c>
      <c r="H45" t="s">
        <v>34</v>
      </c>
      <c r="I45" t="s">
        <v>38</v>
      </c>
      <c r="J45" t="s">
        <v>25</v>
      </c>
      <c r="L45" s="16" t="str">
        <f>IF(A45="","Blank",IF(COUNTIF($A$2:A45,A45)=1,"Unique","Duplicate"))</f>
        <v>Unique</v>
      </c>
      <c r="M45">
        <f>IF(L45="Unique",COUNTIF($L$2:L45,"Unique"),"")</f>
        <v>43</v>
      </c>
    </row>
    <row r="46" spans="1:13">
      <c r="A46">
        <v>44</v>
      </c>
      <c r="B46" t="s">
        <v>10</v>
      </c>
      <c r="C46" t="s">
        <v>20</v>
      </c>
      <c r="D46" t="s">
        <v>21</v>
      </c>
      <c r="E46">
        <v>83144.58</v>
      </c>
      <c r="F46">
        <v>85903.360000000001</v>
      </c>
      <c r="G46" t="s">
        <v>22</v>
      </c>
      <c r="H46" t="s">
        <v>14</v>
      </c>
      <c r="I46" t="s">
        <v>38</v>
      </c>
      <c r="L46" s="16" t="str">
        <f>IF(A46="","Blank",IF(COUNTIF($A$2:A46,A46)=1,"Unique","Duplicate"))</f>
        <v>Unique</v>
      </c>
      <c r="M46">
        <f>IF(L46="Unique",COUNTIF($L$2:L46,"Unique"),"")</f>
        <v>44</v>
      </c>
    </row>
    <row r="47" spans="1:13">
      <c r="A47">
        <v>45</v>
      </c>
      <c r="B47" t="s">
        <v>16</v>
      </c>
      <c r="C47" t="s">
        <v>91</v>
      </c>
      <c r="D47" t="s">
        <v>12</v>
      </c>
      <c r="E47" t="s">
        <v>92</v>
      </c>
      <c r="F47">
        <v>17466.29</v>
      </c>
      <c r="G47" t="s">
        <v>41</v>
      </c>
      <c r="H47" t="s">
        <v>83</v>
      </c>
      <c r="I47" t="s">
        <v>81</v>
      </c>
      <c r="J47" t="s">
        <v>46</v>
      </c>
      <c r="L47" s="16" t="str">
        <f>IF(A47="","Blank",IF(COUNTIF($A$2:A47,A47)=1,"Unique","Duplicate"))</f>
        <v>Unique</v>
      </c>
      <c r="M47">
        <f>IF(L47="Unique",COUNTIF($L$2:L47,"Unique"),"")</f>
        <v>45</v>
      </c>
    </row>
    <row r="48" spans="1:13">
      <c r="A48">
        <v>46</v>
      </c>
      <c r="B48" t="s">
        <v>75</v>
      </c>
      <c r="C48" t="s">
        <v>17</v>
      </c>
      <c r="D48" t="s">
        <v>36</v>
      </c>
      <c r="E48">
        <v>71307.63</v>
      </c>
      <c r="F48">
        <v>71307.63</v>
      </c>
      <c r="G48" t="s">
        <v>22</v>
      </c>
      <c r="H48" t="s">
        <v>19</v>
      </c>
      <c r="I48" t="s">
        <v>15</v>
      </c>
      <c r="J48" t="s">
        <v>46</v>
      </c>
      <c r="L48" s="16" t="str">
        <f>IF(A48="","Blank",IF(COUNTIF($A$2:A48,A48)=1,"Unique","Duplicate"))</f>
        <v>Unique</v>
      </c>
      <c r="M48">
        <f>IF(L48="Unique",COUNTIF($L$2:L48,"Unique"),"")</f>
        <v>46</v>
      </c>
    </row>
    <row r="49" spans="1:13">
      <c r="A49">
        <v>47</v>
      </c>
      <c r="B49" t="s">
        <v>87</v>
      </c>
      <c r="C49" t="s">
        <v>47</v>
      </c>
      <c r="D49" t="s">
        <v>21</v>
      </c>
      <c r="E49">
        <v>13046.99</v>
      </c>
      <c r="F49">
        <v>12304.8</v>
      </c>
      <c r="G49" t="s">
        <v>41</v>
      </c>
      <c r="H49" t="s">
        <v>14</v>
      </c>
      <c r="I49" t="s">
        <v>38</v>
      </c>
      <c r="J49" t="s">
        <v>46</v>
      </c>
      <c r="L49" s="16" t="str">
        <f>IF(A49="","Blank",IF(COUNTIF($A$2:A49,A49)=1,"Unique","Duplicate"))</f>
        <v>Unique</v>
      </c>
      <c r="M49">
        <f>IF(L49="Unique",COUNTIF($L$2:L49,"Unique"),"")</f>
        <v>47</v>
      </c>
    </row>
    <row r="50" spans="1:13">
      <c r="A50">
        <v>48</v>
      </c>
      <c r="B50" t="s">
        <v>80</v>
      </c>
      <c r="C50" t="s">
        <v>17</v>
      </c>
      <c r="D50" t="s">
        <v>89</v>
      </c>
      <c r="E50">
        <v>51276.04</v>
      </c>
      <c r="F50">
        <v>51276.04</v>
      </c>
      <c r="G50" t="s">
        <v>13</v>
      </c>
      <c r="H50" t="s">
        <v>72</v>
      </c>
      <c r="I50" t="s">
        <v>24</v>
      </c>
      <c r="J50" t="s">
        <v>58</v>
      </c>
      <c r="L50" s="16" t="str">
        <f>IF(A50="","Blank",IF(COUNTIF($A$2:A50,A50)=1,"Unique","Duplicate"))</f>
        <v>Unique</v>
      </c>
      <c r="M50">
        <f>IF(L50="Unique",COUNTIF($L$2:L50,"Unique"),"")</f>
        <v>48</v>
      </c>
    </row>
    <row r="51" spans="1:13">
      <c r="A51">
        <v>49</v>
      </c>
      <c r="B51" t="s">
        <v>77</v>
      </c>
      <c r="C51" t="s">
        <v>32</v>
      </c>
      <c r="D51" t="s">
        <v>44</v>
      </c>
      <c r="E51">
        <v>39609.24</v>
      </c>
      <c r="F51">
        <v>36441.629999999997</v>
      </c>
      <c r="G51" t="s">
        <v>85</v>
      </c>
      <c r="H51" t="s">
        <v>72</v>
      </c>
      <c r="I51" t="s">
        <v>24</v>
      </c>
      <c r="J51" t="s">
        <v>84</v>
      </c>
      <c r="L51" s="16" t="str">
        <f>IF(A51="","Blank",IF(COUNTIF($A$2:A51,A51)=1,"Unique","Duplicate"))</f>
        <v>Unique</v>
      </c>
      <c r="M51">
        <f>IF(L51="Unique",COUNTIF($L$2:L51,"Unique"),"")</f>
        <v>49</v>
      </c>
    </row>
    <row r="52" spans="1:13">
      <c r="L52" s="16" t="str">
        <f>IF(A52="","Blank",IF(COUNTIF($A$2:A52,A52)=1,"Unique","Duplicate"))</f>
        <v>Blank</v>
      </c>
      <c r="M52" t="str">
        <f>IF(L52="Unique",COUNTIF($L$2:L52,"Unique"),"")</f>
        <v/>
      </c>
    </row>
    <row r="53" spans="1:13">
      <c r="A53">
        <v>50</v>
      </c>
      <c r="B53" t="s">
        <v>59</v>
      </c>
      <c r="C53" t="s">
        <v>47</v>
      </c>
      <c r="D53" t="s">
        <v>55</v>
      </c>
      <c r="E53">
        <v>55805.39</v>
      </c>
      <c r="F53">
        <v>53337.8</v>
      </c>
      <c r="G53" t="s">
        <v>13</v>
      </c>
      <c r="H53" t="s">
        <v>34</v>
      </c>
      <c r="I53" t="s">
        <v>38</v>
      </c>
      <c r="J53" t="s">
        <v>46</v>
      </c>
      <c r="L53" s="16" t="str">
        <f>IF(A53="","Blank",IF(COUNTIF($A$2:A53,A53)=1,"Unique","Duplicate"))</f>
        <v>Unique</v>
      </c>
      <c r="M53">
        <f>IF(L53="Unique",COUNTIF($L$2:L53,"Unique"),"")</f>
        <v>50</v>
      </c>
    </row>
    <row r="54" spans="1:13">
      <c r="A54">
        <v>51</v>
      </c>
      <c r="B54" t="s">
        <v>10</v>
      </c>
      <c r="C54" t="s">
        <v>32</v>
      </c>
      <c r="D54" t="s">
        <v>89</v>
      </c>
      <c r="E54">
        <v>15739.53</v>
      </c>
      <c r="F54">
        <v>16155.7</v>
      </c>
      <c r="G54" t="s">
        <v>85</v>
      </c>
      <c r="H54" t="s">
        <v>37</v>
      </c>
      <c r="I54" t="s">
        <v>43</v>
      </c>
      <c r="L54" s="16" t="str">
        <f>IF(A54="","Blank",IF(COUNTIF($A$2:A54,A54)=1,"Unique","Duplicate"))</f>
        <v>Unique</v>
      </c>
      <c r="M54">
        <f>IF(L54="Unique",COUNTIF($L$2:L54,"Unique"),"")</f>
        <v>51</v>
      </c>
    </row>
    <row r="55" spans="1:13">
      <c r="A55">
        <v>52</v>
      </c>
      <c r="B55" t="s">
        <v>69</v>
      </c>
      <c r="C55" t="s">
        <v>64</v>
      </c>
      <c r="D55" t="s">
        <v>28</v>
      </c>
      <c r="E55">
        <v>118152.64</v>
      </c>
      <c r="F55">
        <v>115056.36</v>
      </c>
      <c r="G55" t="s">
        <v>45</v>
      </c>
      <c r="H55" t="s">
        <v>83</v>
      </c>
      <c r="I55" t="s">
        <v>81</v>
      </c>
      <c r="L55" s="16" t="str">
        <f>IF(A55="","Blank",IF(COUNTIF($A$2:A55,A55)=1,"Unique","Duplicate"))</f>
        <v>Unique</v>
      </c>
      <c r="M55">
        <f>IF(L55="Unique",COUNTIF($L$2:L55,"Unique"),"")</f>
        <v>52</v>
      </c>
    </row>
    <row r="56" spans="1:13">
      <c r="A56">
        <v>53</v>
      </c>
      <c r="B56" t="s">
        <v>68</v>
      </c>
      <c r="C56" t="s">
        <v>65</v>
      </c>
      <c r="D56" t="s">
        <v>21</v>
      </c>
      <c r="E56">
        <v>33058.21</v>
      </c>
      <c r="F56">
        <v>30426.38</v>
      </c>
      <c r="G56" t="s">
        <v>13</v>
      </c>
      <c r="H56" t="s">
        <v>83</v>
      </c>
      <c r="I56" t="s">
        <v>43</v>
      </c>
      <c r="L56" s="16" t="str">
        <f>IF(A56="","Blank",IF(COUNTIF($A$2:A56,A56)=1,"Unique","Duplicate"))</f>
        <v>Unique</v>
      </c>
      <c r="M56">
        <f>IF(L56="Unique",COUNTIF($L$2:L56,"Unique"),"")</f>
        <v>53</v>
      </c>
    </row>
    <row r="57" spans="1:13">
      <c r="A57">
        <v>54</v>
      </c>
      <c r="B57" t="s">
        <v>62</v>
      </c>
      <c r="C57" t="s">
        <v>65</v>
      </c>
      <c r="D57" t="s">
        <v>12</v>
      </c>
      <c r="E57">
        <v>69101.67</v>
      </c>
      <c r="F57">
        <v>70379.710000000006</v>
      </c>
      <c r="G57" t="s">
        <v>13</v>
      </c>
      <c r="H57" t="s">
        <v>90</v>
      </c>
      <c r="I57" t="s">
        <v>15</v>
      </c>
      <c r="J57" t="s">
        <v>46</v>
      </c>
      <c r="L57" s="16" t="str">
        <f>IF(A57="","Blank",IF(COUNTIF($A$2:A57,A57)=1,"Unique","Duplicate"))</f>
        <v>Unique</v>
      </c>
      <c r="M57">
        <f>IF(L57="Unique",COUNTIF($L$2:L57,"Unique"),"")</f>
        <v>54</v>
      </c>
    </row>
    <row r="58" spans="1:13">
      <c r="A58">
        <v>55</v>
      </c>
      <c r="B58" t="s">
        <v>59</v>
      </c>
      <c r="C58" t="s">
        <v>47</v>
      </c>
      <c r="D58" t="s">
        <v>93</v>
      </c>
      <c r="E58">
        <v>107513.98</v>
      </c>
      <c r="F58">
        <v>104326.1</v>
      </c>
      <c r="G58" t="s">
        <v>18</v>
      </c>
      <c r="H58" t="s">
        <v>83</v>
      </c>
      <c r="I58" t="s">
        <v>15</v>
      </c>
      <c r="J58" t="s">
        <v>76</v>
      </c>
      <c r="L58" s="16" t="str">
        <f>IF(A58="","Blank",IF(COUNTIF($A$2:A58,A58)=1,"Unique","Duplicate"))</f>
        <v>Unique</v>
      </c>
      <c r="M58">
        <f>IF(L58="Unique",COUNTIF($L$2:L58,"Unique"),"")</f>
        <v>55</v>
      </c>
    </row>
    <row r="59" spans="1:13">
      <c r="A59">
        <v>56</v>
      </c>
      <c r="B59" t="s">
        <v>77</v>
      </c>
      <c r="C59" t="s">
        <v>65</v>
      </c>
      <c r="D59" t="s">
        <v>55</v>
      </c>
      <c r="E59">
        <v>34807.03</v>
      </c>
      <c r="G59" t="s">
        <v>85</v>
      </c>
      <c r="H59" t="s">
        <v>94</v>
      </c>
      <c r="I59" t="s">
        <v>52</v>
      </c>
      <c r="L59" s="16" t="str">
        <f>IF(A59="","Blank",IF(COUNTIF($A$2:A59,A59)=1,"Unique","Duplicate"))</f>
        <v>Unique</v>
      </c>
      <c r="M59">
        <f>IF(L59="Unique",COUNTIF($L$2:L59,"Unique"),"")</f>
        <v>56</v>
      </c>
    </row>
    <row r="60" spans="1:13">
      <c r="A60">
        <v>57</v>
      </c>
      <c r="B60" t="s">
        <v>26</v>
      </c>
      <c r="C60" t="s">
        <v>65</v>
      </c>
      <c r="D60" t="s">
        <v>60</v>
      </c>
      <c r="E60">
        <v>87057.66</v>
      </c>
      <c r="F60">
        <v>87057.66</v>
      </c>
      <c r="G60" t="s">
        <v>41</v>
      </c>
      <c r="H60" t="s">
        <v>49</v>
      </c>
      <c r="I60" t="s">
        <v>15</v>
      </c>
      <c r="L60" s="16" t="str">
        <f>IF(A60="","Blank",IF(COUNTIF($A$2:A60,A60)=1,"Unique","Duplicate"))</f>
        <v>Unique</v>
      </c>
      <c r="M60">
        <f>IF(L60="Unique",COUNTIF($L$2:L60,"Unique"),"")</f>
        <v>57</v>
      </c>
    </row>
    <row r="61" spans="1:13">
      <c r="A61">
        <v>58</v>
      </c>
      <c r="B61" t="s">
        <v>54</v>
      </c>
      <c r="C61" t="s">
        <v>27</v>
      </c>
      <c r="D61" t="s">
        <v>28</v>
      </c>
      <c r="E61">
        <v>49049.06</v>
      </c>
      <c r="F61">
        <v>49049.06</v>
      </c>
      <c r="G61" t="s">
        <v>13</v>
      </c>
      <c r="H61" t="s">
        <v>34</v>
      </c>
      <c r="I61" t="s">
        <v>24</v>
      </c>
      <c r="J61" t="s">
        <v>58</v>
      </c>
      <c r="L61" s="16" t="str">
        <f>IF(A61="","Blank",IF(COUNTIF($A$2:A61,A61)=1,"Unique","Duplicate"))</f>
        <v>Unique</v>
      </c>
      <c r="M61">
        <f>IF(L61="Unique",COUNTIF($L$2:L61,"Unique"),"")</f>
        <v>58</v>
      </c>
    </row>
    <row r="62" spans="1:13">
      <c r="A62">
        <v>59</v>
      </c>
      <c r="B62" t="s">
        <v>95</v>
      </c>
      <c r="C62" t="s">
        <v>20</v>
      </c>
      <c r="D62" t="s">
        <v>55</v>
      </c>
      <c r="E62">
        <v>52814.04</v>
      </c>
      <c r="F62">
        <v>52814.04</v>
      </c>
      <c r="G62" t="s">
        <v>22</v>
      </c>
      <c r="H62" t="s">
        <v>29</v>
      </c>
      <c r="I62" t="s">
        <v>81</v>
      </c>
      <c r="L62" s="16" t="str">
        <f>IF(A62="","Blank",IF(COUNTIF($A$2:A62,A62)=1,"Unique","Duplicate"))</f>
        <v>Unique</v>
      </c>
      <c r="M62">
        <f>IF(L62="Unique",COUNTIF($L$2:L62,"Unique"),"")</f>
        <v>59</v>
      </c>
    </row>
    <row r="63" spans="1:13">
      <c r="A63">
        <v>60</v>
      </c>
      <c r="B63" t="s">
        <v>16</v>
      </c>
      <c r="C63" t="s">
        <v>17</v>
      </c>
      <c r="D63" t="s">
        <v>55</v>
      </c>
      <c r="E63">
        <v>5678.05</v>
      </c>
      <c r="F63">
        <v>5678.05</v>
      </c>
      <c r="G63" t="s">
        <v>22</v>
      </c>
      <c r="H63" t="s">
        <v>83</v>
      </c>
      <c r="I63" t="s">
        <v>15</v>
      </c>
      <c r="J63" t="s">
        <v>46</v>
      </c>
      <c r="L63" s="16" t="str">
        <f>IF(A63="","Blank",IF(COUNTIF($A$2:A63,A63)=1,"Unique","Duplicate"))</f>
        <v>Unique</v>
      </c>
      <c r="M63">
        <f>IF(L63="Unique",COUNTIF($L$2:L63,"Unique"),"")</f>
        <v>60</v>
      </c>
    </row>
    <row r="64" spans="1:13">
      <c r="A64">
        <v>61</v>
      </c>
      <c r="B64" t="s">
        <v>59</v>
      </c>
      <c r="C64" t="s">
        <v>51</v>
      </c>
      <c r="D64" t="s">
        <v>55</v>
      </c>
      <c r="E64">
        <v>30233.49</v>
      </c>
      <c r="F64">
        <v>30233.49</v>
      </c>
      <c r="G64" t="s">
        <v>22</v>
      </c>
      <c r="H64" t="s">
        <v>29</v>
      </c>
      <c r="I64" t="s">
        <v>53</v>
      </c>
      <c r="J64" t="s">
        <v>58</v>
      </c>
      <c r="L64" s="16" t="str">
        <f>IF(A64="","Blank",IF(COUNTIF($A$2:A64,A64)=1,"Unique","Duplicate"))</f>
        <v>Unique</v>
      </c>
      <c r="M64">
        <f>IF(L64="Unique",COUNTIF($L$2:L64,"Unique"),"")</f>
        <v>61</v>
      </c>
    </row>
    <row r="65" spans="1:13">
      <c r="A65">
        <v>62</v>
      </c>
      <c r="B65" t="s">
        <v>77</v>
      </c>
      <c r="C65" t="s">
        <v>65</v>
      </c>
      <c r="D65" t="s">
        <v>36</v>
      </c>
      <c r="E65">
        <v>19677.2</v>
      </c>
      <c r="F65">
        <v>18140.169999999998</v>
      </c>
      <c r="G65" t="s">
        <v>22</v>
      </c>
      <c r="H65" t="s">
        <v>19</v>
      </c>
      <c r="I65" t="s">
        <v>30</v>
      </c>
      <c r="J65" t="s">
        <v>58</v>
      </c>
      <c r="L65" s="16" t="str">
        <f>IF(A65="","Blank",IF(COUNTIF($A$2:A65,A65)=1,"Unique","Duplicate"))</f>
        <v>Unique</v>
      </c>
      <c r="M65">
        <f>IF(L65="Unique",COUNTIF($L$2:L65,"Unique"),"")</f>
        <v>62</v>
      </c>
    </row>
    <row r="66" spans="1:13">
      <c r="A66">
        <v>63</v>
      </c>
      <c r="B66" t="s">
        <v>54</v>
      </c>
      <c r="C66" t="s">
        <v>65</v>
      </c>
      <c r="D66" t="s">
        <v>82</v>
      </c>
      <c r="E66">
        <v>10782.73</v>
      </c>
      <c r="F66">
        <v>10782.73</v>
      </c>
      <c r="G66" t="s">
        <v>13</v>
      </c>
      <c r="H66" t="s">
        <v>90</v>
      </c>
      <c r="I66" t="s">
        <v>53</v>
      </c>
      <c r="J66" t="s">
        <v>25</v>
      </c>
      <c r="L66" s="16" t="str">
        <f>IF(A66="","Blank",IF(COUNTIF($A$2:A66,A66)=1,"Unique","Duplicate"))</f>
        <v>Unique</v>
      </c>
      <c r="M66">
        <f>IF(L66="Unique",COUNTIF($L$2:L66,"Unique"),"")</f>
        <v>63</v>
      </c>
    </row>
    <row r="67" spans="1:13">
      <c r="A67">
        <v>64</v>
      </c>
      <c r="B67" t="s">
        <v>68</v>
      </c>
      <c r="C67" t="s">
        <v>91</v>
      </c>
      <c r="D67" t="s">
        <v>93</v>
      </c>
      <c r="E67">
        <v>114388.47</v>
      </c>
      <c r="F67">
        <v>114388.47</v>
      </c>
      <c r="G67" t="s">
        <v>13</v>
      </c>
      <c r="H67" t="s">
        <v>79</v>
      </c>
      <c r="I67" t="s">
        <v>78</v>
      </c>
      <c r="J67" t="s">
        <v>46</v>
      </c>
      <c r="L67" s="16" t="str">
        <f>IF(A67="","Blank",IF(COUNTIF($A$2:A67,A67)=1,"Unique","Duplicate"))</f>
        <v>Unique</v>
      </c>
      <c r="M67">
        <f>IF(L67="Unique",COUNTIF($L$2:L67,"Unique"),"")</f>
        <v>64</v>
      </c>
    </row>
    <row r="68" spans="1:13">
      <c r="A68">
        <v>65</v>
      </c>
      <c r="B68" t="s">
        <v>71</v>
      </c>
      <c r="C68" t="s">
        <v>47</v>
      </c>
      <c r="D68" t="s">
        <v>28</v>
      </c>
      <c r="E68">
        <v>79766.570000000007</v>
      </c>
      <c r="F68">
        <v>84203.41</v>
      </c>
      <c r="G68" t="s">
        <v>22</v>
      </c>
      <c r="H68" t="s">
        <v>37</v>
      </c>
      <c r="I68" t="s">
        <v>43</v>
      </c>
      <c r="L68" s="16" t="str">
        <f>IF(A68="","Blank",IF(COUNTIF($A$2:A68,A68)=1,"Unique","Duplicate"))</f>
        <v>Unique</v>
      </c>
      <c r="M68">
        <f>IF(L68="Unique",COUNTIF($L$2:L68,"Unique"),"")</f>
        <v>65</v>
      </c>
    </row>
    <row r="69" spans="1:13">
      <c r="A69">
        <v>66</v>
      </c>
      <c r="B69" t="s">
        <v>59</v>
      </c>
      <c r="C69" t="s">
        <v>27</v>
      </c>
      <c r="D69" t="s">
        <v>28</v>
      </c>
      <c r="E69">
        <v>19515.41</v>
      </c>
      <c r="F69">
        <v>18724.599999999999</v>
      </c>
      <c r="G69" t="s">
        <v>13</v>
      </c>
      <c r="H69" t="s">
        <v>90</v>
      </c>
      <c r="I69" t="s">
        <v>38</v>
      </c>
      <c r="J69" t="s">
        <v>25</v>
      </c>
      <c r="L69" s="16" t="str">
        <f>IF(A69="","Blank",IF(COUNTIF($A$2:A69,A69)=1,"Unique","Duplicate"))</f>
        <v>Unique</v>
      </c>
      <c r="M69">
        <f>IF(L69="Unique",COUNTIF($L$2:L69,"Unique"),"")</f>
        <v>66</v>
      </c>
    </row>
    <row r="70" spans="1:13">
      <c r="A70">
        <v>67</v>
      </c>
      <c r="B70" t="s">
        <v>77</v>
      </c>
      <c r="C70" t="s">
        <v>32</v>
      </c>
      <c r="D70" t="s">
        <v>44</v>
      </c>
      <c r="E70" t="s">
        <v>96</v>
      </c>
      <c r="F70">
        <v>112869.53</v>
      </c>
      <c r="G70" t="s">
        <v>13</v>
      </c>
      <c r="H70" t="s">
        <v>97</v>
      </c>
      <c r="I70" t="s">
        <v>30</v>
      </c>
      <c r="J70" t="s">
        <v>84</v>
      </c>
      <c r="L70" s="16" t="str">
        <f>IF(A70="","Blank",IF(COUNTIF($A$2:A70,A70)=1,"Unique","Duplicate"))</f>
        <v>Unique</v>
      </c>
      <c r="M70">
        <f>IF(L70="Unique",COUNTIF($L$2:L70,"Unique"),"")</f>
        <v>67</v>
      </c>
    </row>
    <row r="71" spans="1:13">
      <c r="A71">
        <v>68</v>
      </c>
      <c r="B71" t="s">
        <v>69</v>
      </c>
      <c r="C71" t="s">
        <v>91</v>
      </c>
      <c r="D71" t="s">
        <v>44</v>
      </c>
      <c r="E71">
        <v>82894.94</v>
      </c>
      <c r="F71">
        <v>86025.53</v>
      </c>
      <c r="G71" t="s">
        <v>13</v>
      </c>
      <c r="H71" t="s">
        <v>34</v>
      </c>
      <c r="I71" t="s">
        <v>81</v>
      </c>
      <c r="L71" s="16" t="str">
        <f>IF(A71="","Blank",IF(COUNTIF($A$2:A71,A71)=1,"Unique","Duplicate"))</f>
        <v>Unique</v>
      </c>
      <c r="M71">
        <f>IF(L71="Unique",COUNTIF($L$2:L71,"Unique"),"")</f>
        <v>68</v>
      </c>
    </row>
    <row r="72" spans="1:13">
      <c r="A72">
        <v>69</v>
      </c>
      <c r="B72" t="s">
        <v>75</v>
      </c>
      <c r="C72" t="s">
        <v>91</v>
      </c>
      <c r="D72" t="s">
        <v>48</v>
      </c>
      <c r="E72">
        <v>83689.789999999994</v>
      </c>
      <c r="F72">
        <v>89191.21</v>
      </c>
      <c r="G72" t="s">
        <v>13</v>
      </c>
      <c r="H72" t="s">
        <v>70</v>
      </c>
      <c r="I72" t="s">
        <v>53</v>
      </c>
      <c r="J72" t="s">
        <v>46</v>
      </c>
      <c r="L72" s="16" t="str">
        <f>IF(A72="","Blank",IF(COUNTIF($A$2:A72,A72)=1,"Unique","Duplicate"))</f>
        <v>Unique</v>
      </c>
      <c r="M72">
        <f>IF(L72="Unique",COUNTIF($L$2:L72,"Unique"),"")</f>
        <v>69</v>
      </c>
    </row>
    <row r="73" spans="1:13">
      <c r="A73">
        <v>70</v>
      </c>
      <c r="B73" t="s">
        <v>73</v>
      </c>
      <c r="C73" t="s">
        <v>47</v>
      </c>
      <c r="D73" t="s">
        <v>60</v>
      </c>
      <c r="E73">
        <v>63185.49</v>
      </c>
      <c r="F73">
        <v>63185.49</v>
      </c>
      <c r="G73" t="s">
        <v>22</v>
      </c>
      <c r="H73" t="s">
        <v>79</v>
      </c>
      <c r="I73" t="s">
        <v>30</v>
      </c>
      <c r="J73" t="s">
        <v>58</v>
      </c>
      <c r="L73" s="16" t="str">
        <f>IF(A73="","Blank",IF(COUNTIF($A$2:A73,A73)=1,"Unique","Duplicate"))</f>
        <v>Unique</v>
      </c>
      <c r="M73">
        <f>IF(L73="Unique",COUNTIF($L$2:L73,"Unique"),"")</f>
        <v>70</v>
      </c>
    </row>
    <row r="74" spans="1:13">
      <c r="A74">
        <v>71</v>
      </c>
      <c r="B74" t="s">
        <v>31</v>
      </c>
      <c r="C74" t="s">
        <v>65</v>
      </c>
      <c r="D74" t="s">
        <v>88</v>
      </c>
      <c r="E74">
        <v>22593.98</v>
      </c>
      <c r="F74">
        <v>22593.98</v>
      </c>
      <c r="G74" t="s">
        <v>18</v>
      </c>
      <c r="H74" t="s">
        <v>61</v>
      </c>
      <c r="I74" t="s">
        <v>81</v>
      </c>
      <c r="J74" t="s">
        <v>46</v>
      </c>
      <c r="L74" s="16" t="str">
        <f>IF(A74="","Blank",IF(COUNTIF($A$2:A74,A74)=1,"Unique","Duplicate"))</f>
        <v>Unique</v>
      </c>
      <c r="M74">
        <f>IF(L74="Unique",COUNTIF($L$2:L74,"Unique"),"")</f>
        <v>71</v>
      </c>
    </row>
    <row r="75" spans="1:13">
      <c r="A75">
        <v>72</v>
      </c>
      <c r="B75" t="s">
        <v>98</v>
      </c>
      <c r="C75" t="s">
        <v>65</v>
      </c>
      <c r="D75" t="s">
        <v>21</v>
      </c>
      <c r="E75">
        <v>99959.48</v>
      </c>
      <c r="F75">
        <v>94217.94</v>
      </c>
      <c r="G75" t="s">
        <v>13</v>
      </c>
      <c r="H75" t="s">
        <v>34</v>
      </c>
      <c r="I75" t="s">
        <v>38</v>
      </c>
      <c r="J75" t="s">
        <v>76</v>
      </c>
      <c r="L75" s="16" t="str">
        <f>IF(A75="","Blank",IF(COUNTIF($A$2:A75,A75)=1,"Unique","Duplicate"))</f>
        <v>Unique</v>
      </c>
      <c r="M75">
        <f>IF(L75="Unique",COUNTIF($L$2:L75,"Unique"),"")</f>
        <v>72</v>
      </c>
    </row>
    <row r="76" spans="1:13">
      <c r="A76">
        <v>73</v>
      </c>
      <c r="B76" t="s">
        <v>39</v>
      </c>
      <c r="C76" t="s">
        <v>65</v>
      </c>
      <c r="D76" t="s">
        <v>44</v>
      </c>
      <c r="E76">
        <v>75188.149999999994</v>
      </c>
      <c r="F76">
        <v>75188.149999999994</v>
      </c>
      <c r="G76" t="s">
        <v>22</v>
      </c>
      <c r="H76" t="s">
        <v>79</v>
      </c>
      <c r="I76" t="s">
        <v>53</v>
      </c>
      <c r="L76" s="16" t="str">
        <f>IF(A76="","Blank",IF(COUNTIF($A$2:A76,A76)=1,"Unique","Duplicate"))</f>
        <v>Unique</v>
      </c>
      <c r="M76">
        <f>IF(L76="Unique",COUNTIF($L$2:L76,"Unique"),"")</f>
        <v>73</v>
      </c>
    </row>
    <row r="77" spans="1:13">
      <c r="A77">
        <v>74</v>
      </c>
      <c r="B77" t="s">
        <v>98</v>
      </c>
      <c r="C77" t="s">
        <v>51</v>
      </c>
      <c r="D77" t="s">
        <v>89</v>
      </c>
      <c r="E77">
        <v>96750.720000000001</v>
      </c>
      <c r="F77">
        <v>96750.720000000001</v>
      </c>
      <c r="G77" t="s">
        <v>13</v>
      </c>
      <c r="H77" t="s">
        <v>61</v>
      </c>
      <c r="I77" t="s">
        <v>15</v>
      </c>
      <c r="L77" s="16" t="str">
        <f>IF(A77="","Blank",IF(COUNTIF($A$2:A77,A77)=1,"Unique","Duplicate"))</f>
        <v>Unique</v>
      </c>
      <c r="M77">
        <f>IF(L77="Unique",COUNTIF($L$2:L77,"Unique"),"")</f>
        <v>74</v>
      </c>
    </row>
    <row r="78" spans="1:13">
      <c r="A78">
        <v>75</v>
      </c>
      <c r="B78" t="s">
        <v>62</v>
      </c>
      <c r="C78" t="s">
        <v>51</v>
      </c>
      <c r="D78" t="s">
        <v>60</v>
      </c>
      <c r="E78">
        <v>32755.95</v>
      </c>
      <c r="F78">
        <v>32755.95</v>
      </c>
      <c r="G78" t="s">
        <v>18</v>
      </c>
      <c r="H78" t="s">
        <v>37</v>
      </c>
      <c r="I78" t="s">
        <v>52</v>
      </c>
      <c r="J78" t="s">
        <v>76</v>
      </c>
      <c r="L78" s="16" t="str">
        <f>IF(A78="","Blank",IF(COUNTIF($A$2:A78,A78)=1,"Unique","Duplicate"))</f>
        <v>Unique</v>
      </c>
      <c r="M78">
        <f>IF(L78="Unique",COUNTIF($L$2:L78,"Unique"),"")</f>
        <v>75</v>
      </c>
    </row>
    <row r="79" spans="1:13">
      <c r="A79">
        <v>76</v>
      </c>
      <c r="B79" t="s">
        <v>86</v>
      </c>
      <c r="C79" t="s">
        <v>64</v>
      </c>
      <c r="D79" t="s">
        <v>60</v>
      </c>
      <c r="E79">
        <v>38837.089999999997</v>
      </c>
      <c r="F79">
        <v>38837.089999999997</v>
      </c>
      <c r="G79" t="s">
        <v>13</v>
      </c>
      <c r="H79" t="s">
        <v>97</v>
      </c>
      <c r="I79" t="s">
        <v>81</v>
      </c>
      <c r="J79" t="s">
        <v>25</v>
      </c>
      <c r="L79" s="16" t="str">
        <f>IF(A79="","Blank",IF(COUNTIF($A$2:A79,A79)=1,"Unique","Duplicate"))</f>
        <v>Unique</v>
      </c>
      <c r="M79">
        <f>IF(L79="Unique",COUNTIF($L$2:L79,"Unique"),"")</f>
        <v>76</v>
      </c>
    </row>
    <row r="80" spans="1:13">
      <c r="A80">
        <v>77</v>
      </c>
      <c r="B80" t="s">
        <v>98</v>
      </c>
      <c r="C80" t="s">
        <v>20</v>
      </c>
      <c r="D80" t="s">
        <v>66</v>
      </c>
      <c r="E80">
        <v>44532.1</v>
      </c>
      <c r="F80">
        <v>46693.120000000003</v>
      </c>
      <c r="G80" t="s">
        <v>41</v>
      </c>
      <c r="H80" t="s">
        <v>90</v>
      </c>
      <c r="I80" t="s">
        <v>38</v>
      </c>
      <c r="J80" t="s">
        <v>35</v>
      </c>
      <c r="L80" s="16" t="str">
        <f>IF(A80="","Blank",IF(COUNTIF($A$2:A80,A80)=1,"Unique","Duplicate"))</f>
        <v>Unique</v>
      </c>
      <c r="M80">
        <f>IF(L80="Unique",COUNTIF($L$2:L80,"Unique"),"")</f>
        <v>77</v>
      </c>
    </row>
    <row r="81" spans="1:13">
      <c r="A81">
        <v>78</v>
      </c>
      <c r="B81" t="s">
        <v>26</v>
      </c>
      <c r="C81" t="s">
        <v>51</v>
      </c>
      <c r="D81" t="s">
        <v>60</v>
      </c>
      <c r="E81">
        <v>87947.7</v>
      </c>
      <c r="F81">
        <v>87947.7</v>
      </c>
      <c r="G81" t="s">
        <v>18</v>
      </c>
      <c r="H81" t="s">
        <v>23</v>
      </c>
      <c r="I81" t="s">
        <v>43</v>
      </c>
      <c r="L81" s="16" t="str">
        <f>IF(A81="","Blank",IF(COUNTIF($A$2:A81,A81)=1,"Unique","Duplicate"))</f>
        <v>Unique</v>
      </c>
      <c r="M81">
        <f>IF(L81="Unique",COUNTIF($L$2:L81,"Unique"),"")</f>
        <v>78</v>
      </c>
    </row>
    <row r="82" spans="1:13">
      <c r="A82">
        <v>79</v>
      </c>
      <c r="B82" t="s">
        <v>98</v>
      </c>
      <c r="C82" t="s">
        <v>91</v>
      </c>
      <c r="D82" t="s">
        <v>88</v>
      </c>
      <c r="E82">
        <v>72802.490000000005</v>
      </c>
      <c r="F82">
        <v>76571.86</v>
      </c>
      <c r="G82" t="s">
        <v>13</v>
      </c>
      <c r="H82" t="s">
        <v>72</v>
      </c>
      <c r="I82" t="s">
        <v>38</v>
      </c>
      <c r="L82" s="16" t="str">
        <f>IF(A82="","Blank",IF(COUNTIF($A$2:A82,A82)=1,"Unique","Duplicate"))</f>
        <v>Unique</v>
      </c>
      <c r="M82">
        <f>IF(L82="Unique",COUNTIF($L$2:L82,"Unique"),"")</f>
        <v>79</v>
      </c>
    </row>
    <row r="83" spans="1:13">
      <c r="A83">
        <v>80</v>
      </c>
      <c r="B83" t="s">
        <v>31</v>
      </c>
      <c r="C83" t="s">
        <v>27</v>
      </c>
      <c r="D83" t="s">
        <v>33</v>
      </c>
      <c r="E83">
        <v>6627.06</v>
      </c>
      <c r="F83">
        <v>6224.15</v>
      </c>
      <c r="G83" t="s">
        <v>22</v>
      </c>
      <c r="H83" t="s">
        <v>67</v>
      </c>
      <c r="I83" t="s">
        <v>38</v>
      </c>
      <c r="L83" s="16" t="str">
        <f>IF(A83="","Blank",IF(COUNTIF($A$2:A83,A83)=1,"Unique","Duplicate"))</f>
        <v>Unique</v>
      </c>
      <c r="M83">
        <f>IF(L83="Unique",COUNTIF($L$2:L83,"Unique"),"")</f>
        <v>80</v>
      </c>
    </row>
    <row r="84" spans="1:13">
      <c r="A84">
        <v>81</v>
      </c>
      <c r="B84" t="s">
        <v>10</v>
      </c>
      <c r="C84" t="s">
        <v>65</v>
      </c>
      <c r="D84" t="s">
        <v>60</v>
      </c>
      <c r="E84">
        <v>105362.77</v>
      </c>
      <c r="F84">
        <v>100395.74</v>
      </c>
      <c r="G84" t="s">
        <v>45</v>
      </c>
      <c r="H84" t="s">
        <v>49</v>
      </c>
      <c r="I84" t="s">
        <v>57</v>
      </c>
      <c r="L84" s="16" t="str">
        <f>IF(A84="","Blank",IF(COUNTIF($A$2:A84,A84)=1,"Unique","Duplicate"))</f>
        <v>Unique</v>
      </c>
      <c r="M84">
        <f>IF(L84="Unique",COUNTIF($L$2:L84,"Unique"),"")</f>
        <v>81</v>
      </c>
    </row>
    <row r="85" spans="1:13">
      <c r="A85">
        <v>82</v>
      </c>
      <c r="B85" t="s">
        <v>26</v>
      </c>
      <c r="C85" t="s">
        <v>65</v>
      </c>
      <c r="D85" t="s">
        <v>60</v>
      </c>
      <c r="E85">
        <v>99543.3</v>
      </c>
      <c r="F85">
        <v>99543.3</v>
      </c>
      <c r="G85" t="s">
        <v>13</v>
      </c>
      <c r="H85" t="s">
        <v>70</v>
      </c>
      <c r="I85" t="s">
        <v>57</v>
      </c>
      <c r="L85" s="16" t="str">
        <f>IF(A85="","Blank",IF(COUNTIF($A$2:A85,A85)=1,"Unique","Duplicate"))</f>
        <v>Unique</v>
      </c>
      <c r="M85">
        <f>IF(L85="Unique",COUNTIF($L$2:L85,"Unique"),"")</f>
        <v>82</v>
      </c>
    </row>
    <row r="86" spans="1:13">
      <c r="A86">
        <v>83</v>
      </c>
      <c r="B86" t="s">
        <v>16</v>
      </c>
      <c r="C86" t="s">
        <v>91</v>
      </c>
      <c r="D86" t="s">
        <v>60</v>
      </c>
      <c r="E86">
        <v>119300.58</v>
      </c>
      <c r="F86">
        <v>119300.58</v>
      </c>
      <c r="G86" t="s">
        <v>22</v>
      </c>
      <c r="H86" t="s">
        <v>37</v>
      </c>
      <c r="I86" t="s">
        <v>15</v>
      </c>
      <c r="J86" t="s">
        <v>58</v>
      </c>
      <c r="L86" s="16" t="str">
        <f>IF(A86="","Blank",IF(COUNTIF($A$2:A86,A86)=1,"Unique","Duplicate"))</f>
        <v>Unique</v>
      </c>
      <c r="M86">
        <f>IF(L86="Unique",COUNTIF($L$2:L86,"Unique"),"")</f>
        <v>83</v>
      </c>
    </row>
    <row r="87" spans="1:13">
      <c r="A87">
        <v>84</v>
      </c>
      <c r="B87" t="s">
        <v>86</v>
      </c>
      <c r="C87" t="s">
        <v>65</v>
      </c>
      <c r="D87" t="s">
        <v>33</v>
      </c>
      <c r="E87">
        <v>103919.17</v>
      </c>
      <c r="F87">
        <v>107179.8</v>
      </c>
      <c r="G87" t="s">
        <v>13</v>
      </c>
      <c r="H87" t="s">
        <v>70</v>
      </c>
      <c r="I87" t="s">
        <v>81</v>
      </c>
      <c r="L87" s="16" t="str">
        <f>IF(A87="","Blank",IF(COUNTIF($A$2:A87,A87)=1,"Unique","Duplicate"))</f>
        <v>Unique</v>
      </c>
      <c r="M87">
        <f>IF(L87="Unique",COUNTIF($L$2:L87,"Unique"),"")</f>
        <v>84</v>
      </c>
    </row>
    <row r="88" spans="1:13">
      <c r="A88">
        <v>85</v>
      </c>
      <c r="B88" t="s">
        <v>87</v>
      </c>
      <c r="C88" t="s">
        <v>51</v>
      </c>
      <c r="D88" t="s">
        <v>33</v>
      </c>
      <c r="E88">
        <v>80949.240000000005</v>
      </c>
      <c r="F88">
        <v>80949.240000000005</v>
      </c>
      <c r="G88" t="s">
        <v>13</v>
      </c>
      <c r="H88" t="s">
        <v>67</v>
      </c>
      <c r="I88" t="s">
        <v>30</v>
      </c>
      <c r="L88" s="16" t="str">
        <f>IF(A88="","Blank",IF(COUNTIF($A$2:A88,A88)=1,"Unique","Duplicate"))</f>
        <v>Unique</v>
      </c>
      <c r="M88">
        <f>IF(L88="Unique",COUNTIF($L$2:L88,"Unique"),"")</f>
        <v>85</v>
      </c>
    </row>
    <row r="89" spans="1:13">
      <c r="A89">
        <v>86</v>
      </c>
      <c r="B89" t="s">
        <v>69</v>
      </c>
      <c r="C89" t="s">
        <v>17</v>
      </c>
      <c r="D89" t="s">
        <v>55</v>
      </c>
      <c r="E89">
        <v>84277.68</v>
      </c>
      <c r="F89">
        <v>84277.68</v>
      </c>
      <c r="G89" t="s">
        <v>22</v>
      </c>
      <c r="H89" t="s">
        <v>37</v>
      </c>
      <c r="I89" t="s">
        <v>38</v>
      </c>
      <c r="J89" t="s">
        <v>35</v>
      </c>
      <c r="L89" s="16" t="str">
        <f>IF(A89="","Blank",IF(COUNTIF($A$2:A89,A89)=1,"Unique","Duplicate"))</f>
        <v>Unique</v>
      </c>
      <c r="M89">
        <f>IF(L89="Unique",COUNTIF($L$2:L89,"Unique"),"")</f>
        <v>86</v>
      </c>
    </row>
    <row r="90" spans="1:13">
      <c r="A90">
        <v>87</v>
      </c>
      <c r="B90" t="s">
        <v>86</v>
      </c>
      <c r="C90" t="s">
        <v>11</v>
      </c>
      <c r="D90" t="s">
        <v>99</v>
      </c>
      <c r="E90">
        <v>31843.74</v>
      </c>
      <c r="F90">
        <v>31843.74</v>
      </c>
      <c r="G90" t="s">
        <v>13</v>
      </c>
      <c r="H90" t="s">
        <v>72</v>
      </c>
      <c r="I90" t="s">
        <v>24</v>
      </c>
      <c r="L90" s="16" t="str">
        <f>IF(A90="","Blank",IF(COUNTIF($A$2:A90,A90)=1,"Unique","Duplicate"))</f>
        <v>Unique</v>
      </c>
      <c r="M90">
        <f>IF(L90="Unique",COUNTIF($L$2:L90,"Unique"),"")</f>
        <v>87</v>
      </c>
    </row>
    <row r="91" spans="1:13">
      <c r="A91">
        <v>88</v>
      </c>
      <c r="C91" t="s">
        <v>51</v>
      </c>
      <c r="D91" t="s">
        <v>99</v>
      </c>
      <c r="E91">
        <v>22133.78</v>
      </c>
      <c r="F91">
        <v>22133.78</v>
      </c>
      <c r="G91" t="s">
        <v>13</v>
      </c>
      <c r="H91" t="s">
        <v>34</v>
      </c>
      <c r="I91" t="s">
        <v>78</v>
      </c>
      <c r="L91" s="16" t="str">
        <f>IF(A91="","Blank",IF(COUNTIF($A$2:A91,A91)=1,"Unique","Duplicate"))</f>
        <v>Unique</v>
      </c>
      <c r="M91">
        <f>IF(L91="Unique",COUNTIF($L$2:L91,"Unique"),"")</f>
        <v>88</v>
      </c>
    </row>
    <row r="92" spans="1:13">
      <c r="A92">
        <v>89</v>
      </c>
      <c r="B92" t="s">
        <v>80</v>
      </c>
      <c r="C92" t="s">
        <v>32</v>
      </c>
      <c r="D92" t="s">
        <v>88</v>
      </c>
      <c r="E92" t="s">
        <v>100</v>
      </c>
      <c r="F92">
        <v>103853.05</v>
      </c>
      <c r="G92" t="s">
        <v>45</v>
      </c>
      <c r="H92" t="s">
        <v>97</v>
      </c>
      <c r="I92" t="s">
        <v>24</v>
      </c>
      <c r="J92" t="s">
        <v>35</v>
      </c>
      <c r="L92" s="16" t="str">
        <f>IF(A92="","Blank",IF(COUNTIF($A$2:A92,A92)=1,"Unique","Duplicate"))</f>
        <v>Unique</v>
      </c>
      <c r="M92">
        <f>IF(L92="Unique",COUNTIF($L$2:L92,"Unique"),"")</f>
        <v>89</v>
      </c>
    </row>
    <row r="93" spans="1:13">
      <c r="A93">
        <v>90</v>
      </c>
      <c r="B93" t="s">
        <v>62</v>
      </c>
      <c r="C93" t="s">
        <v>20</v>
      </c>
      <c r="D93" t="s">
        <v>55</v>
      </c>
      <c r="E93">
        <v>55342.27</v>
      </c>
      <c r="F93">
        <v>54360.480000000003</v>
      </c>
      <c r="G93" t="s">
        <v>41</v>
      </c>
      <c r="H93" t="s">
        <v>61</v>
      </c>
      <c r="I93" t="s">
        <v>78</v>
      </c>
      <c r="L93" s="16" t="str">
        <f>IF(A93="","Blank",IF(COUNTIF($A$2:A93,A93)=1,"Unique","Duplicate"))</f>
        <v>Unique</v>
      </c>
      <c r="M93">
        <f>IF(L93="Unique",COUNTIF($L$2:L93,"Unique"),"")</f>
        <v>90</v>
      </c>
    </row>
    <row r="94" spans="1:13">
      <c r="A94">
        <v>91</v>
      </c>
      <c r="B94" t="s">
        <v>39</v>
      </c>
      <c r="C94" t="s">
        <v>32</v>
      </c>
      <c r="D94" t="s">
        <v>44</v>
      </c>
      <c r="E94">
        <v>114340.42</v>
      </c>
      <c r="F94">
        <v>120864.65</v>
      </c>
      <c r="G94" t="s">
        <v>85</v>
      </c>
      <c r="H94" t="s">
        <v>70</v>
      </c>
      <c r="I94" t="s">
        <v>57</v>
      </c>
      <c r="J94" t="s">
        <v>76</v>
      </c>
      <c r="L94" s="16" t="str">
        <f>IF(A94="","Blank",IF(COUNTIF($A$2:A94,A94)=1,"Unique","Duplicate"))</f>
        <v>Unique</v>
      </c>
      <c r="M94">
        <f>IF(L94="Unique",COUNTIF($L$2:L94,"Unique"),"")</f>
        <v>91</v>
      </c>
    </row>
    <row r="95" spans="1:13">
      <c r="A95">
        <v>92</v>
      </c>
      <c r="B95" t="s">
        <v>62</v>
      </c>
      <c r="C95" t="s">
        <v>65</v>
      </c>
      <c r="D95" t="s">
        <v>36</v>
      </c>
      <c r="E95">
        <v>36988.01</v>
      </c>
      <c r="F95">
        <v>38486.47</v>
      </c>
      <c r="G95" t="s">
        <v>45</v>
      </c>
      <c r="H95" t="s">
        <v>34</v>
      </c>
      <c r="I95" t="s">
        <v>52</v>
      </c>
      <c r="J95" t="s">
        <v>25</v>
      </c>
      <c r="L95" s="16" t="str">
        <f>IF(A95="","Blank",IF(COUNTIF($A$2:A95,A95)=1,"Unique","Duplicate"))</f>
        <v>Unique</v>
      </c>
      <c r="M95">
        <f>IF(L95="Unique",COUNTIF($L$2:L95,"Unique"),"")</f>
        <v>92</v>
      </c>
    </row>
    <row r="96" spans="1:13">
      <c r="A96">
        <v>93</v>
      </c>
      <c r="B96" t="s">
        <v>73</v>
      </c>
      <c r="C96" t="s">
        <v>47</v>
      </c>
      <c r="D96" t="s">
        <v>89</v>
      </c>
      <c r="E96">
        <v>82065.350000000006</v>
      </c>
      <c r="F96">
        <v>84780.59</v>
      </c>
      <c r="G96" t="s">
        <v>45</v>
      </c>
      <c r="H96" t="s">
        <v>97</v>
      </c>
      <c r="I96" t="s">
        <v>24</v>
      </c>
      <c r="J96" t="s">
        <v>46</v>
      </c>
      <c r="L96" s="16" t="str">
        <f>IF(A96="","Blank",IF(COUNTIF($A$2:A96,A96)=1,"Unique","Duplicate"))</f>
        <v>Unique</v>
      </c>
      <c r="M96">
        <f>IF(L96="Unique",COUNTIF($L$2:L96,"Unique"),"")</f>
        <v>93</v>
      </c>
    </row>
    <row r="97" spans="1:13">
      <c r="A97">
        <v>94</v>
      </c>
      <c r="B97" t="s">
        <v>71</v>
      </c>
      <c r="C97" t="s">
        <v>65</v>
      </c>
      <c r="D97" t="s">
        <v>60</v>
      </c>
      <c r="E97">
        <v>41169.47</v>
      </c>
      <c r="F97">
        <v>41169.47</v>
      </c>
      <c r="G97" t="s">
        <v>22</v>
      </c>
      <c r="H97" t="s">
        <v>94</v>
      </c>
      <c r="I97" t="s">
        <v>78</v>
      </c>
      <c r="J97" t="s">
        <v>46</v>
      </c>
      <c r="L97" s="16" t="str">
        <f>IF(A97="","Blank",IF(COUNTIF($A$2:A97,A97)=1,"Unique","Duplicate"))</f>
        <v>Unique</v>
      </c>
      <c r="M97">
        <f>IF(L97="Unique",COUNTIF($L$2:L97,"Unique"),"")</f>
        <v>94</v>
      </c>
    </row>
    <row r="98" spans="1:13">
      <c r="A98">
        <v>95</v>
      </c>
      <c r="B98" t="s">
        <v>86</v>
      </c>
      <c r="C98" t="s">
        <v>17</v>
      </c>
      <c r="D98" t="s">
        <v>12</v>
      </c>
      <c r="E98">
        <v>26571.99</v>
      </c>
      <c r="F98">
        <v>26571.99</v>
      </c>
      <c r="G98" t="s">
        <v>45</v>
      </c>
      <c r="H98" t="s">
        <v>90</v>
      </c>
      <c r="I98" t="s">
        <v>78</v>
      </c>
      <c r="L98" s="16" t="str">
        <f>IF(A98="","Blank",IF(COUNTIF($A$2:A98,A98)=1,"Unique","Duplicate"))</f>
        <v>Unique</v>
      </c>
      <c r="M98">
        <f>IF(L98="Unique",COUNTIF($L$2:L98,"Unique"),"")</f>
        <v>95</v>
      </c>
    </row>
    <row r="99" spans="1:13">
      <c r="A99">
        <v>96</v>
      </c>
      <c r="B99" t="s">
        <v>26</v>
      </c>
      <c r="C99" t="s">
        <v>20</v>
      </c>
      <c r="D99" t="s">
        <v>82</v>
      </c>
      <c r="E99">
        <v>111682.37</v>
      </c>
      <c r="F99">
        <v>111682.37</v>
      </c>
      <c r="G99" t="s">
        <v>45</v>
      </c>
      <c r="H99" t="s">
        <v>14</v>
      </c>
      <c r="I99" t="s">
        <v>78</v>
      </c>
      <c r="J99" t="s">
        <v>84</v>
      </c>
      <c r="L99" s="16" t="str">
        <f>IF(A99="","Blank",IF(COUNTIF($A$2:A99,A99)=1,"Unique","Duplicate"))</f>
        <v>Unique</v>
      </c>
      <c r="M99">
        <f>IF(L99="Unique",COUNTIF($L$2:L99,"Unique"),"")</f>
        <v>96</v>
      </c>
    </row>
    <row r="100" spans="1:13">
      <c r="A100">
        <v>97</v>
      </c>
      <c r="B100" t="s">
        <v>39</v>
      </c>
      <c r="C100" t="s">
        <v>27</v>
      </c>
      <c r="D100" t="s">
        <v>33</v>
      </c>
      <c r="E100">
        <v>68346.490000000005</v>
      </c>
      <c r="F100">
        <v>63324.71</v>
      </c>
      <c r="G100" t="s">
        <v>13</v>
      </c>
      <c r="H100" t="s">
        <v>90</v>
      </c>
      <c r="I100" t="s">
        <v>30</v>
      </c>
      <c r="L100" s="16" t="str">
        <f>IF(A100="","Blank",IF(COUNTIF($A$2:A100,A100)=1,"Unique","Duplicate"))</f>
        <v>Unique</v>
      </c>
      <c r="M100">
        <f>IF(L100="Unique",COUNTIF($L$2:L100,"Unique"),"")</f>
        <v>97</v>
      </c>
    </row>
    <row r="101" spans="1:13">
      <c r="A101">
        <v>98</v>
      </c>
      <c r="B101" t="s">
        <v>98</v>
      </c>
      <c r="C101" t="s">
        <v>91</v>
      </c>
      <c r="D101" t="s">
        <v>66</v>
      </c>
      <c r="E101">
        <v>86122.34</v>
      </c>
      <c r="F101">
        <v>86122.34</v>
      </c>
      <c r="G101" t="s">
        <v>45</v>
      </c>
      <c r="H101" t="s">
        <v>79</v>
      </c>
      <c r="I101" t="s">
        <v>43</v>
      </c>
      <c r="J101" t="s">
        <v>76</v>
      </c>
      <c r="L101" s="16" t="str">
        <f>IF(A101="","Blank",IF(COUNTIF($A$2:A101,A101)=1,"Unique","Duplicate"))</f>
        <v>Unique</v>
      </c>
      <c r="M101">
        <f>IF(L101="Unique",COUNTIF($L$2:L101,"Unique"),"")</f>
        <v>98</v>
      </c>
    </row>
    <row r="102" spans="1:13">
      <c r="A102">
        <v>99</v>
      </c>
      <c r="B102" t="s">
        <v>63</v>
      </c>
      <c r="C102" t="s">
        <v>27</v>
      </c>
      <c r="D102" t="s">
        <v>21</v>
      </c>
      <c r="E102">
        <v>26920.19</v>
      </c>
      <c r="F102">
        <v>26172.9</v>
      </c>
      <c r="G102" t="s">
        <v>13</v>
      </c>
      <c r="H102" t="s">
        <v>34</v>
      </c>
      <c r="I102" t="s">
        <v>38</v>
      </c>
      <c r="J102" t="s">
        <v>58</v>
      </c>
      <c r="L102" s="16" t="str">
        <f>IF(A102="","Blank",IF(COUNTIF($A$2:A102,A102)=1,"Unique","Duplicate"))</f>
        <v>Unique</v>
      </c>
      <c r="M102">
        <f>IF(L102="Unique",COUNTIF($L$2:L102,"Unique"),"")</f>
        <v>99</v>
      </c>
    </row>
    <row r="103" spans="1:13">
      <c r="A103">
        <v>100</v>
      </c>
      <c r="B103" t="s">
        <v>95</v>
      </c>
      <c r="C103" t="s">
        <v>20</v>
      </c>
      <c r="D103" t="s">
        <v>33</v>
      </c>
      <c r="E103">
        <v>99363.19</v>
      </c>
      <c r="F103">
        <v>99363.19</v>
      </c>
      <c r="G103" t="s">
        <v>85</v>
      </c>
      <c r="H103" t="s">
        <v>79</v>
      </c>
      <c r="I103" t="s">
        <v>57</v>
      </c>
      <c r="J103" t="s">
        <v>76</v>
      </c>
      <c r="L103" s="16" t="str">
        <f>IF(A103="","Blank",IF(COUNTIF($A$2:A103,A103)=1,"Unique","Duplicate"))</f>
        <v>Unique</v>
      </c>
      <c r="M103">
        <f>IF(L103="Unique",COUNTIF($L$2:L103,"Unique"),"")</f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zoomScaleNormal="100" workbookViewId="0">
      <selection activeCell="E2" sqref="E2"/>
    </sheetView>
  </sheetViews>
  <sheetFormatPr defaultRowHeight="14.4"/>
  <cols>
    <col min="1" max="3" width="22" customWidth="1"/>
    <col min="4" max="4" width="27.6640625" bestFit="1" customWidth="1"/>
    <col min="5" max="10" width="22" customWidth="1"/>
    <col min="11" max="11" width="27.66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101</v>
      </c>
      <c r="F1" s="2" t="s">
        <v>102</v>
      </c>
      <c r="G1" s="2" t="s">
        <v>103</v>
      </c>
      <c r="H1" s="2" t="s">
        <v>7</v>
      </c>
      <c r="I1" s="2" t="s">
        <v>8</v>
      </c>
      <c r="J1" s="2" t="s">
        <v>9</v>
      </c>
      <c r="K1" s="2" t="s">
        <v>104</v>
      </c>
      <c r="L1" t="s">
        <v>105</v>
      </c>
    </row>
    <row r="2" spans="1:12">
      <c r="A2">
        <f>IFERROR(INDEX('1_Raw_Data'!$A:$A,MATCH(ROW()-1,'1_Raw_Data'!$M:$M,0)),"")</f>
        <v>1</v>
      </c>
      <c r="B2" t="str">
        <f>IFERROR(VLOOKUP(LOWER(VLOOKUP(A2,'1_Raw_Data'!$A:$J,2,0)),LookupSheet!$A:$B,2,0),"MISSING")</f>
        <v>Sweden</v>
      </c>
      <c r="C2" t="str">
        <f>VLOOKUP(A2,'1_Raw_Data'!$A:$J,3,0)</f>
        <v>WPP Media</v>
      </c>
      <c r="D2" t="str">
        <f>VLOOKUP(A2,'1_Raw_Data'!$A:$J,4,0)</f>
        <v>Q1 Brand Awareness</v>
      </c>
      <c r="E2" s="22">
        <f>'1_Raw_Data'!E2*L2</f>
        <v>77070.593246999997</v>
      </c>
      <c r="F2" s="22">
        <f>IF('1_Raw_Data'!F2="","MISSING",'1_Raw_Data'!F2*L2)</f>
        <v>77070.593246999997</v>
      </c>
      <c r="G2" t="str">
        <f>UPPER(SUBSTITUTE(SUBSTITUTE(VLOOKUP(A2,'1_Raw_Data'!$A:$J,7,0),"€","EUR"),"£","GBP"))</f>
        <v>EUR</v>
      </c>
      <c r="H2" t="str">
        <f>IFERROR(VLOOKUP(LOWER(VLOOKUP(A2,'1_Raw_Data'!$A:$J,8,0)),LookupSheet!$C:$D,2,0),IFERROR(VLOOKUP(LOWER(TEXT(VLOOKUP(A2,'1_Raw_Data'!$A:$J,8,0),"mmm-yy")),LookupSheet!$C:$D,2,0),VLOOKUP(A2,'1_Raw_Data'!$A:$J,8,0)))</f>
        <v>Feb-2024</v>
      </c>
      <c r="I2" t="str">
        <f>IFERROR(VLOOKUP(LOWER(VLOOKUP(A2,'1_Raw_Data'!$A:$J,9,0)),LookupSheet!$E:$F,2,0),VLOOKUP(A2,'1_Raw_Data'!$A:$J,9,0))</f>
        <v>Disputed</v>
      </c>
      <c r="J2" t="str">
        <f>IFERROR(IF(VLOOKUP(A2,'1_Raw_Data'!$A:$J,10,FALSE)="","",VLOOKUP(A2,'1_Raw_Data'!$A:$J,10,FALSE)),"")</f>
        <v/>
      </c>
      <c r="K2" t="str">
        <f t="shared" ref="K2:K33" si="0">IFERROR(IF(B2="UNKNOWN",$B$1&amp;": Missing",IF(OR(F2="",F2="Invalid",F2="MISSING"),$F$1&amp;": Missing",IF(OR(E2="",E2="Invalid",E2="MISSING"),$E$1&amp;": Missing",IF(G2="",$G$1&amp;": Missing",IF(H2="",$H$1&amp;": Missing",IF(I2="",$I$1&amp;": Missing","Clean")))))),"Clean")</f>
        <v>Clean</v>
      </c>
      <c r="L2">
        <f>IF(G2="GBP",1,VLOOKUP(H2,FX_Rates!$A:$B,2,0))</f>
        <v>0.85370000000000001</v>
      </c>
    </row>
    <row r="3" spans="1:12">
      <c r="A3">
        <f>IFERROR(INDEX('1_Raw_Data'!$A:$A,MATCH(ROW()-1,'1_Raw_Data'!$M:$M,0)),"")</f>
        <v>2</v>
      </c>
      <c r="B3" t="str">
        <f>IFERROR(VLOOKUP(LOWER(VLOOKUP(A3,'1_Raw_Data'!$A:$J,2,0)),LookupSheet!$A:$B,2,0),"MISSING")</f>
        <v>Sweden</v>
      </c>
      <c r="C3" t="str">
        <f>VLOOKUP(A3,'1_Raw_Data'!$A:$J,3,0)</f>
        <v>IPG Mediabrands</v>
      </c>
      <c r="D3" t="str">
        <f>VLOOKUP(A3,'1_Raw_Data'!$A:$J,4,0)</f>
        <v>Q1 Brand Awareness</v>
      </c>
      <c r="E3" s="22">
        <f>'1_Raw_Data'!E3*L3</f>
        <v>8426.68</v>
      </c>
      <c r="F3" s="22">
        <f>IF('1_Raw_Data'!F3="","MISSING",'1_Raw_Data'!F3*L3)</f>
        <v>8426.68</v>
      </c>
      <c r="G3" t="str">
        <f>UPPER(SUBSTITUTE(SUBSTITUTE(VLOOKUP(A3,'1_Raw_Data'!$A:$J,7,0),"€","EUR"),"£","GBP"))</f>
        <v>GBP</v>
      </c>
      <c r="H3" t="str">
        <f>IFERROR(VLOOKUP(LOWER(VLOOKUP(A3,'1_Raw_Data'!$A:$J,8,0)),LookupSheet!$C:$D,2,0),IFERROR(VLOOKUP(LOWER(TEXT(VLOOKUP(A3,'1_Raw_Data'!$A:$J,8,0),"mmm-yy")),LookupSheet!$C:$D,2,0),VLOOKUP(A3,'1_Raw_Data'!$A:$J,8,0)))</f>
        <v>Jan-2024</v>
      </c>
      <c r="I3" t="str">
        <f>IFERROR(VLOOKUP(LOWER(VLOOKUP(A3,'1_Raw_Data'!$A:$J,9,0)),LookupSheet!$E:$F,2,0),VLOOKUP(A3,'1_Raw_Data'!$A:$J,9,0))</f>
        <v>Disputed</v>
      </c>
      <c r="J3" t="str">
        <f>IFERROR(IF(VLOOKUP(A3,'1_Raw_Data'!$A:$J,10,FALSE)="","",VLOOKUP(A3,'1_Raw_Data'!$A:$J,10,FALSE)),"")</f>
        <v/>
      </c>
      <c r="K3" t="str">
        <f t="shared" si="0"/>
        <v>Clean</v>
      </c>
      <c r="L3">
        <f>IF(G3="GBP",1,VLOOKUP(H3,FX_Rates!$A:$B,2,0))</f>
        <v>1</v>
      </c>
    </row>
    <row r="4" spans="1:12">
      <c r="A4">
        <f>IFERROR(INDEX('1_Raw_Data'!$A:$A,MATCH(ROW()-1,'1_Raw_Data'!$M:$M,0)),"")</f>
        <v>3</v>
      </c>
      <c r="B4" t="str">
        <f>IFERROR(VLOOKUP(LOWER(VLOOKUP(A4,'1_Raw_Data'!$A:$J,2,0)),LookupSheet!$A:$B,2,0),"MISSING")</f>
        <v>MISSING</v>
      </c>
      <c r="C4" t="str">
        <f>VLOOKUP(A4,'1_Raw_Data'!$A:$J,3,0)</f>
        <v>Mindshare</v>
      </c>
      <c r="D4" t="str">
        <f>VLOOKUP(A4,'1_Raw_Data'!$A:$J,4,0)</f>
        <v>Premium Tier Push</v>
      </c>
      <c r="E4" s="22">
        <f>'1_Raw_Data'!E4*L4</f>
        <v>30350.67</v>
      </c>
      <c r="F4" s="22">
        <f>IF('1_Raw_Data'!F4="","MISSING",'1_Raw_Data'!F4*L4)</f>
        <v>29642.29</v>
      </c>
      <c r="G4" t="str">
        <f>UPPER(SUBSTITUTE(SUBSTITUTE(VLOOKUP(A4,'1_Raw_Data'!$A:$J,7,0),"€","EUR"),"£","GBP"))</f>
        <v>GBP</v>
      </c>
      <c r="H4" t="str">
        <f>IFERROR(VLOOKUP(LOWER(VLOOKUP(A4,'1_Raw_Data'!$A:$J,8,0)),LookupSheet!$C:$D,2,0),IFERROR(VLOOKUP(LOWER(TEXT(VLOOKUP(A4,'1_Raw_Data'!$A:$J,8,0),"mmm-yy")),LookupSheet!$C:$D,2,0),VLOOKUP(A4,'1_Raw_Data'!$A:$J,8,0)))</f>
        <v>Feb-2024</v>
      </c>
      <c r="I4" t="str">
        <f>IFERROR(VLOOKUP(LOWER(VLOOKUP(A4,'1_Raw_Data'!$A:$J,9,0)),LookupSheet!$E:$F,2,0),VLOOKUP(A4,'1_Raw_Data'!$A:$J,9,0))</f>
        <v>Under Review</v>
      </c>
      <c r="J4" t="str">
        <f>IFERROR(IF(VLOOKUP(A4,'1_Raw_Data'!$A:$J,10,FALSE)="","",VLOOKUP(A4,'1_Raw_Data'!$A:$J,10,FALSE)),"")</f>
        <v>Check with agency</v>
      </c>
      <c r="K4" t="str">
        <f t="shared" si="0"/>
        <v>Clean</v>
      </c>
      <c r="L4">
        <f>IF(G4="GBP",1,VLOOKUP(H4,FX_Rates!$A:$B,2,0))</f>
        <v>1</v>
      </c>
    </row>
    <row r="5" spans="1:12">
      <c r="A5">
        <f>IFERROR(INDEX('1_Raw_Data'!$A:$A,MATCH(ROW()-1,'1_Raw_Data'!$M:$M,0)),"")</f>
        <v>4</v>
      </c>
      <c r="B5" t="str">
        <f>IFERROR(VLOOKUP(LOWER(VLOOKUP(A5,'1_Raw_Data'!$A:$J,2,0)),LookupSheet!$A:$B,2,0),"MISSING")</f>
        <v>Germany</v>
      </c>
      <c r="C5" t="str">
        <f>VLOOKUP(A5,'1_Raw_Data'!$A:$J,3,0)</f>
        <v>Publicis</v>
      </c>
      <c r="D5" t="str">
        <f>VLOOKUP(A5,'1_Raw_Data'!$A:$J,4,0)</f>
        <v>Q2 Retargeting Sweep</v>
      </c>
      <c r="E5" s="22">
        <f>'1_Raw_Data'!E5*L5</f>
        <v>98197.337349999987</v>
      </c>
      <c r="F5" s="22">
        <f>IF('1_Raw_Data'!F5="","MISSING",'1_Raw_Data'!F5*L5)</f>
        <v>98197.337349999987</v>
      </c>
      <c r="G5" t="str">
        <f>UPPER(SUBSTITUTE(SUBSTITUTE(VLOOKUP(A5,'1_Raw_Data'!$A:$J,7,0),"€","EUR"),"£","GBP"))</f>
        <v>EUR</v>
      </c>
      <c r="H5" t="str">
        <f>IFERROR(VLOOKUP(LOWER(VLOOKUP(A5,'1_Raw_Data'!$A:$J,8,0)),LookupSheet!$C:$D,2,0),IFERROR(VLOOKUP(LOWER(TEXT(VLOOKUP(A5,'1_Raw_Data'!$A:$J,8,0),"mmm-yy")),LookupSheet!$C:$D,2,0),VLOOKUP(A5,'1_Raw_Data'!$A:$J,8,0)))</f>
        <v>May-2024</v>
      </c>
      <c r="I5" t="str">
        <f>IFERROR(VLOOKUP(LOWER(VLOOKUP(A5,'1_Raw_Data'!$A:$J,9,0)),LookupSheet!$E:$F,2,0),VLOOKUP(A5,'1_Raw_Data'!$A:$J,9,0))</f>
        <v>Confirmed</v>
      </c>
      <c r="J5" t="str">
        <f>IFERROR(IF(VLOOKUP(A5,'1_Raw_Data'!$A:$J,10,FALSE)="","",VLOOKUP(A5,'1_Raw_Data'!$A:$J,10,FALSE)),"")</f>
        <v>Check with agency</v>
      </c>
      <c r="K5" t="str">
        <f t="shared" si="0"/>
        <v>Clean</v>
      </c>
      <c r="L5">
        <f>IF(G5="GBP",1,VLOOKUP(H5,FX_Rates!$A:$B,2,0))</f>
        <v>0.85329999999999995</v>
      </c>
    </row>
    <row r="6" spans="1:12">
      <c r="A6">
        <f>IFERROR(INDEX('1_Raw_Data'!$A:$A,MATCH(ROW()-1,'1_Raw_Data'!$M:$M,0)),"")</f>
        <v>5</v>
      </c>
      <c r="B6" t="str">
        <f>IFERROR(VLOOKUP(LOWER(VLOOKUP(A6,'1_Raw_Data'!$A:$J,2,0)),LookupSheet!$A:$B,2,0),"MISSING")</f>
        <v>Spain</v>
      </c>
      <c r="C6" t="str">
        <f>VLOOKUP(A6,'1_Raw_Data'!$A:$J,3,0)</f>
        <v>MediaCom</v>
      </c>
      <c r="D6" t="str">
        <f>VLOOKUP(A6,'1_Raw_Data'!$A:$J,4,0)</f>
        <v>Agency Co-op Feb</v>
      </c>
      <c r="E6" s="22">
        <f>'1_Raw_Data'!E6*L6</f>
        <v>97819.75</v>
      </c>
      <c r="F6" s="22">
        <f>IF('1_Raw_Data'!F6="","MISSING",'1_Raw_Data'!F6*L6)</f>
        <v>93665.93</v>
      </c>
      <c r="G6" t="str">
        <f>UPPER(SUBSTITUTE(SUBSTITUTE(VLOOKUP(A6,'1_Raw_Data'!$A:$J,7,0),"€","EUR"),"£","GBP"))</f>
        <v>GBP</v>
      </c>
      <c r="H6" t="str">
        <f>IFERROR(VLOOKUP(LOWER(VLOOKUP(A6,'1_Raw_Data'!$A:$J,8,0)),LookupSheet!$C:$D,2,0),IFERROR(VLOOKUP(LOWER(TEXT(VLOOKUP(A6,'1_Raw_Data'!$A:$J,8,0),"mmm-yy")),LookupSheet!$C:$D,2,0),VLOOKUP(A6,'1_Raw_Data'!$A:$J,8,0)))</f>
        <v>Jan-2024</v>
      </c>
      <c r="I6" t="str">
        <f>IFERROR(VLOOKUP(LOWER(VLOOKUP(A6,'1_Raw_Data'!$A:$J,9,0)),LookupSheet!$E:$F,2,0),VLOOKUP(A6,'1_Raw_Data'!$A:$J,9,0))</f>
        <v>Disputed</v>
      </c>
      <c r="J6" t="str">
        <f>IFERROR(IF(VLOOKUP(A6,'1_Raw_Data'!$A:$J,10,FALSE)="","",VLOOKUP(A6,'1_Raw_Data'!$A:$J,10,FALSE)),"")</f>
        <v>Late invoice</v>
      </c>
      <c r="K6" t="str">
        <f t="shared" si="0"/>
        <v>Clean</v>
      </c>
      <c r="L6">
        <f>IF(G6="GBP",1,VLOOKUP(H6,FX_Rates!$A:$B,2,0))</f>
        <v>1</v>
      </c>
    </row>
    <row r="7" spans="1:12">
      <c r="A7">
        <f>IFERROR(INDEX('1_Raw_Data'!$A:$A,MATCH(ROW()-1,'1_Raw_Data'!$M:$M,0)),"")</f>
        <v>6</v>
      </c>
      <c r="B7" t="str">
        <f>IFERROR(VLOOKUP(LOWER(VLOOKUP(A7,'1_Raw_Data'!$A:$J,2,0)),LookupSheet!$A:$B,2,0),"MISSING")</f>
        <v>Sweden</v>
      </c>
      <c r="C7" t="str">
        <f>VLOOKUP(A7,'1_Raw_Data'!$A:$J,3,0)</f>
        <v>MediaCom</v>
      </c>
      <c r="D7" t="str">
        <f>VLOOKUP(A7,'1_Raw_Data'!$A:$J,4,0)</f>
        <v>Data-Driven Creative</v>
      </c>
      <c r="E7" s="22">
        <f>'1_Raw_Data'!E7*L7</f>
        <v>104096.29</v>
      </c>
      <c r="F7" s="22">
        <f>IF('1_Raw_Data'!F7="","MISSING",'1_Raw_Data'!F7*L7)</f>
        <v>100902.62</v>
      </c>
      <c r="G7" t="str">
        <f>UPPER(SUBSTITUTE(SUBSTITUTE(VLOOKUP(A7,'1_Raw_Data'!$A:$J,7,0),"€","EUR"),"£","GBP"))</f>
        <v>GBP</v>
      </c>
      <c r="H7" t="str">
        <f>IFERROR(VLOOKUP(LOWER(VLOOKUP(A7,'1_Raw_Data'!$A:$J,8,0)),LookupSheet!$C:$D,2,0),IFERROR(VLOOKUP(LOWER(TEXT(VLOOKUP(A7,'1_Raw_Data'!$A:$J,8,0),"mmm-yy")),LookupSheet!$C:$D,2,0),VLOOKUP(A7,'1_Raw_Data'!$A:$J,8,0)))</f>
        <v>Mar-2024</v>
      </c>
      <c r="I7" t="str">
        <f>IFERROR(VLOOKUP(LOWER(VLOOKUP(A7,'1_Raw_Data'!$A:$J,9,0)),LookupSheet!$E:$F,2,0),VLOOKUP(A7,'1_Raw_Data'!$A:$J,9,0))</f>
        <v>Pending</v>
      </c>
      <c r="J7" t="str">
        <f>IFERROR(IF(VLOOKUP(A7,'1_Raw_Data'!$A:$J,10,FALSE)="","",VLOOKUP(A7,'1_Raw_Data'!$A:$J,10,FALSE)),"")</f>
        <v/>
      </c>
      <c r="K7" t="str">
        <f t="shared" si="0"/>
        <v>Clean</v>
      </c>
      <c r="L7">
        <f>IF(G7="GBP",1,VLOOKUP(H7,FX_Rates!$A:$B,2,0))</f>
        <v>1</v>
      </c>
    </row>
    <row r="8" spans="1:12">
      <c r="A8">
        <f>IFERROR(INDEX('1_Raw_Data'!$A:$A,MATCH(ROW()-1,'1_Raw_Data'!$M:$M,0)),"")</f>
        <v>7</v>
      </c>
      <c r="B8" t="str">
        <f>IFERROR(VLOOKUP(LOWER(VLOOKUP(A8,'1_Raw_Data'!$A:$J,2,0)),LookupSheet!$A:$B,2,0),"MISSING")</f>
        <v>Germany</v>
      </c>
      <c r="C8" t="str">
        <f>VLOOKUP(A8,'1_Raw_Data'!$A:$J,3,0)</f>
        <v>WPP Media</v>
      </c>
      <c r="D8" t="str">
        <f>VLOOKUP(A8,'1_Raw_Data'!$A:$J,4,0)</f>
        <v>Premium Tier Push</v>
      </c>
      <c r="E8" s="22">
        <f>'1_Raw_Data'!E8*L8</f>
        <v>36966.959999999999</v>
      </c>
      <c r="F8" s="22">
        <f>IF('1_Raw_Data'!F8="","MISSING",'1_Raw_Data'!F8*L8)</f>
        <v>34953.67</v>
      </c>
      <c r="G8" t="str">
        <f>UPPER(SUBSTITUTE(SUBSTITUTE(VLOOKUP(A8,'1_Raw_Data'!$A:$J,7,0),"€","EUR"),"£","GBP"))</f>
        <v>GBP</v>
      </c>
      <c r="H8" t="str">
        <f>IFERROR(VLOOKUP(LOWER(VLOOKUP(A8,'1_Raw_Data'!$A:$J,8,0)),LookupSheet!$C:$D,2,0),IFERROR(VLOOKUP(LOWER(TEXT(VLOOKUP(A8,'1_Raw_Data'!$A:$J,8,0),"mmm-yy")),LookupSheet!$C:$D,2,0),VLOOKUP(A8,'1_Raw_Data'!$A:$J,8,0)))</f>
        <v>Apr-2024</v>
      </c>
      <c r="I8" t="str">
        <f>IFERROR(VLOOKUP(LOWER(VLOOKUP(A8,'1_Raw_Data'!$A:$J,9,0)),LookupSheet!$E:$F,2,0),VLOOKUP(A8,'1_Raw_Data'!$A:$J,9,0))</f>
        <v>Pending</v>
      </c>
      <c r="J8" t="str">
        <f>IFERROR(IF(VLOOKUP(A8,'1_Raw_Data'!$A:$J,10,FALSE)="","",VLOOKUP(A8,'1_Raw_Data'!$A:$J,10,FALSE)),"")</f>
        <v>Late invoice</v>
      </c>
      <c r="K8" t="str">
        <f t="shared" si="0"/>
        <v>Clean</v>
      </c>
      <c r="L8">
        <f>IF(G8="GBP",1,VLOOKUP(H8,FX_Rates!$A:$B,2,0))</f>
        <v>1</v>
      </c>
    </row>
    <row r="9" spans="1:12">
      <c r="A9">
        <f>IFERROR(INDEX('1_Raw_Data'!$A:$A,MATCH(ROW()-1,'1_Raw_Data'!$M:$M,0)),"")</f>
        <v>8</v>
      </c>
      <c r="B9" t="str">
        <f>IFERROR(VLOOKUP(LOWER(VLOOKUP(A9,'1_Raw_Data'!$A:$J,2,0)),LookupSheet!$A:$B,2,0),"MISSING")</f>
        <v>Sweden</v>
      </c>
      <c r="C9" t="str">
        <f>VLOOKUP(A9,'1_Raw_Data'!$A:$J,3,0)</f>
        <v>WPP Media</v>
      </c>
      <c r="D9" t="str">
        <f>VLOOKUP(A9,'1_Raw_Data'!$A:$J,4,0)</f>
        <v>Always-On Display</v>
      </c>
      <c r="E9" s="22">
        <f>'1_Raw_Data'!E9*L9</f>
        <v>66576.599249999999</v>
      </c>
      <c r="F9" s="22">
        <f>IF('1_Raw_Data'!F9="","MISSING",'1_Raw_Data'!F9*L9)</f>
        <v>62391.376074999993</v>
      </c>
      <c r="G9" t="str">
        <f>UPPER(SUBSTITUTE(SUBSTITUTE(VLOOKUP(A9,'1_Raw_Data'!$A:$J,7,0),"€","EUR"),"£","GBP"))</f>
        <v>EUR</v>
      </c>
      <c r="H9" t="str">
        <f>IFERROR(VLOOKUP(LOWER(VLOOKUP(A9,'1_Raw_Data'!$A:$J,8,0)),LookupSheet!$C:$D,2,0),IFERROR(VLOOKUP(LOWER(TEXT(VLOOKUP(A9,'1_Raw_Data'!$A:$J,8,0),"mmm-yy")),LookupSheet!$C:$D,2,0),VLOOKUP(A9,'1_Raw_Data'!$A:$J,8,0)))</f>
        <v>May-2024</v>
      </c>
      <c r="I9" t="str">
        <f>IFERROR(VLOOKUP(LOWER(VLOOKUP(A9,'1_Raw_Data'!$A:$J,9,0)),LookupSheet!$E:$F,2,0),VLOOKUP(A9,'1_Raw_Data'!$A:$J,9,0))</f>
        <v>Pending</v>
      </c>
      <c r="J9" t="str">
        <f>IFERROR(IF(VLOOKUP(A9,'1_Raw_Data'!$A:$J,10,FALSE)="","",VLOOKUP(A9,'1_Raw_Data'!$A:$J,10,FALSE)),"")</f>
        <v>Original lost</v>
      </c>
      <c r="K9" t="str">
        <f t="shared" si="0"/>
        <v>Clean</v>
      </c>
      <c r="L9">
        <f>IF(G9="GBP",1,VLOOKUP(H9,FX_Rates!$A:$B,2,0))</f>
        <v>0.85329999999999995</v>
      </c>
    </row>
    <row r="10" spans="1:12">
      <c r="A10">
        <f>IFERROR(INDEX('1_Raw_Data'!$A:$A,MATCH(ROW()-1,'1_Raw_Data'!$M:$M,0)),"")</f>
        <v>9</v>
      </c>
      <c r="B10" t="str">
        <f>IFERROR(VLOOKUP(LOWER(VLOOKUP(A10,'1_Raw_Data'!$A:$J,2,0)),LookupSheet!$A:$B,2,0),"MISSING")</f>
        <v>Germany</v>
      </c>
      <c r="C10" t="str">
        <f>VLOOKUP(A10,'1_Raw_Data'!$A:$J,3,0)</f>
        <v>Havas Media</v>
      </c>
      <c r="D10" t="str">
        <f>VLOOKUP(A10,'1_Raw_Data'!$A:$J,4,0)</f>
        <v>Influencer Collab Feb</v>
      </c>
      <c r="E10" s="22">
        <f>'1_Raw_Data'!E10*L10</f>
        <v>93356.06</v>
      </c>
      <c r="F10" s="22">
        <f>IF('1_Raw_Data'!F10="","MISSING",'1_Raw_Data'!F10*L10)</f>
        <v>93356.06</v>
      </c>
      <c r="G10" t="str">
        <f>UPPER(SUBSTITUTE(SUBSTITUTE(VLOOKUP(A10,'1_Raw_Data'!$A:$J,7,0),"€","EUR"),"£","GBP"))</f>
        <v>GBP</v>
      </c>
      <c r="H10" t="str">
        <f>IFERROR(VLOOKUP(LOWER(VLOOKUP(A10,'1_Raw_Data'!$A:$J,8,0)),LookupSheet!$C:$D,2,0),IFERROR(VLOOKUP(LOWER(TEXT(VLOOKUP(A10,'1_Raw_Data'!$A:$J,8,0),"mmm-yy")),LookupSheet!$C:$D,2,0),VLOOKUP(A10,'1_Raw_Data'!$A:$J,8,0)))</f>
        <v>Apr-2024</v>
      </c>
      <c r="I10" t="str">
        <f>IFERROR(VLOOKUP(LOWER(VLOOKUP(A10,'1_Raw_Data'!$A:$J,9,0)),LookupSheet!$E:$F,2,0),VLOOKUP(A10,'1_Raw_Data'!$A:$J,9,0))</f>
        <v>Under Review</v>
      </c>
      <c r="J10" t="str">
        <f>IFERROR(IF(VLOOKUP(A10,'1_Raw_Data'!$A:$J,10,FALSE)="","",VLOOKUP(A10,'1_Raw_Data'!$A:$J,10,FALSE)),"")</f>
        <v>Late invoice</v>
      </c>
      <c r="K10" t="str">
        <f t="shared" si="0"/>
        <v>Clean</v>
      </c>
      <c r="L10">
        <f>IF(G10="GBP",1,VLOOKUP(H10,FX_Rates!$A:$B,2,0))</f>
        <v>1</v>
      </c>
    </row>
    <row r="11" spans="1:12">
      <c r="A11">
        <f>IFERROR(INDEX('1_Raw_Data'!$A:$A,MATCH(ROW()-1,'1_Raw_Data'!$M:$M,0)),"")</f>
        <v>10</v>
      </c>
      <c r="B11" t="str">
        <f>IFERROR(VLOOKUP(LOWER(VLOOKUP(A11,'1_Raw_Data'!$A:$J,2,0)),LookupSheet!$A:$B,2,0),"MISSING")</f>
        <v>UK</v>
      </c>
      <c r="C11" t="str">
        <f>VLOOKUP(A11,'1_Raw_Data'!$A:$J,3,0)</f>
        <v>Dentsu</v>
      </c>
      <c r="D11" t="str">
        <f>VLOOKUP(A11,'1_Raw_Data'!$A:$J,4,0)</f>
        <v>Data-Driven Creative</v>
      </c>
      <c r="E11" s="22">
        <f>'1_Raw_Data'!E11*L11</f>
        <v>96793.761245999995</v>
      </c>
      <c r="F11" s="22">
        <f>IF('1_Raw_Data'!F11="","MISSING",'1_Raw_Data'!F11*L11)</f>
        <v>99893.817211999994</v>
      </c>
      <c r="G11" t="str">
        <f>UPPER(SUBSTITUTE(SUBSTITUTE(VLOOKUP(A11,'1_Raw_Data'!$A:$J,7,0),"€","EUR"),"£","GBP"))</f>
        <v>EUR</v>
      </c>
      <c r="H11" t="str">
        <f>IFERROR(VLOOKUP(LOWER(VLOOKUP(A11,'1_Raw_Data'!$A:$J,8,0)),LookupSheet!$C:$D,2,0),IFERROR(VLOOKUP(LOWER(TEXT(VLOOKUP(A11,'1_Raw_Data'!$A:$J,8,0),"mmm-yy")),LookupSheet!$C:$D,2,0),VLOOKUP(A11,'1_Raw_Data'!$A:$J,8,0)))</f>
        <v>May-2024</v>
      </c>
      <c r="I11" t="str">
        <f>IFERROR(VLOOKUP(LOWER(VLOOKUP(A11,'1_Raw_Data'!$A:$J,9,0)),LookupSheet!$E:$F,2,0),VLOOKUP(A11,'1_Raw_Data'!$A:$J,9,0))</f>
        <v>Disputed</v>
      </c>
      <c r="J11" t="str">
        <f>IFERROR(IF(VLOOKUP(A11,'1_Raw_Data'!$A:$J,10,FALSE)="","",VLOOKUP(A11,'1_Raw_Data'!$A:$J,10,FALSE)),"")</f>
        <v/>
      </c>
      <c r="K11" t="str">
        <f t="shared" si="0"/>
        <v>Clean</v>
      </c>
      <c r="L11">
        <f>IF(G11="GBP",1,VLOOKUP(H11,FX_Rates!$A:$B,2,0))</f>
        <v>0.85329999999999995</v>
      </c>
    </row>
    <row r="12" spans="1:12">
      <c r="A12">
        <f>IFERROR(INDEX('1_Raw_Data'!$A:$A,MATCH(ROW()-1,'1_Raw_Data'!$M:$M,0)),"")</f>
        <v>11</v>
      </c>
      <c r="B12" t="str">
        <f>IFERROR(VLOOKUP(LOWER(VLOOKUP(A12,'1_Raw_Data'!$A:$J,2,0)),LookupSheet!$A:$B,2,0),"MISSING")</f>
        <v>Germany</v>
      </c>
      <c r="C12" t="str">
        <f>VLOOKUP(A12,'1_Raw_Data'!$A:$J,3,0)</f>
        <v>Publicis</v>
      </c>
      <c r="D12" t="str">
        <f>VLOOKUP(A12,'1_Raw_Data'!$A:$J,4,0)</f>
        <v>Q2 Retargeting Sweep</v>
      </c>
      <c r="E12" s="22">
        <f>'1_Raw_Data'!E12*L12</f>
        <v>90673.73</v>
      </c>
      <c r="F12" s="22">
        <f>IF('1_Raw_Data'!F12="","MISSING",'1_Raw_Data'!F12*L12)</f>
        <v>88161.25</v>
      </c>
      <c r="G12" t="str">
        <f>UPPER(SUBSTITUTE(SUBSTITUTE(VLOOKUP(A12,'1_Raw_Data'!$A:$J,7,0),"€","EUR"),"£","GBP"))</f>
        <v>GBP</v>
      </c>
      <c r="H12" t="str">
        <f>IFERROR(VLOOKUP(LOWER(VLOOKUP(A12,'1_Raw_Data'!$A:$J,8,0)),LookupSheet!$C:$D,2,0),IFERROR(VLOOKUP(LOWER(TEXT(VLOOKUP(A12,'1_Raw_Data'!$A:$J,8,0),"mmm-yy")),LookupSheet!$C:$D,2,0),VLOOKUP(A12,'1_Raw_Data'!$A:$J,8,0)))</f>
        <v>May-2024</v>
      </c>
      <c r="I12" t="str">
        <f>IFERROR(VLOOKUP(LOWER(VLOOKUP(A12,'1_Raw_Data'!$A:$J,9,0)),LookupSheet!$E:$F,2,0),VLOOKUP(A12,'1_Raw_Data'!$A:$J,9,0))</f>
        <v>Under Review</v>
      </c>
      <c r="J12" t="str">
        <f>IFERROR(IF(VLOOKUP(A12,'1_Raw_Data'!$A:$J,10,FALSE)="","",VLOOKUP(A12,'1_Raw_Data'!$A:$J,10,FALSE)),"")</f>
        <v/>
      </c>
      <c r="K12" t="str">
        <f t="shared" si="0"/>
        <v>Clean</v>
      </c>
      <c r="L12">
        <f>IF(G12="GBP",1,VLOOKUP(H12,FX_Rates!$A:$B,2,0))</f>
        <v>1</v>
      </c>
    </row>
    <row r="13" spans="1:12">
      <c r="A13">
        <f>IFERROR(INDEX('1_Raw_Data'!$A:$A,MATCH(ROW()-1,'1_Raw_Data'!$M:$M,0)),"")</f>
        <v>12</v>
      </c>
      <c r="B13" t="str">
        <f>IFERROR(VLOOKUP(LOWER(VLOOKUP(A13,'1_Raw_Data'!$A:$J,2,0)),LookupSheet!$A:$B,2,0),"MISSING")</f>
        <v>France</v>
      </c>
      <c r="C13" t="str">
        <f>VLOOKUP(A13,'1_Raw_Data'!$A:$J,3,0)</f>
        <v>Mindshare</v>
      </c>
      <c r="D13" t="str">
        <f>VLOOKUP(A13,'1_Raw_Data'!$A:$J,4,0)</f>
        <v>Winter Churn Prevention</v>
      </c>
      <c r="E13" s="22">
        <f>'1_Raw_Data'!E13*L13</f>
        <v>13193.574946000001</v>
      </c>
      <c r="F13" s="22" t="str">
        <f>IF('1_Raw_Data'!F13="","MISSING",'1_Raw_Data'!F13*L13)</f>
        <v>MISSING</v>
      </c>
      <c r="G13" t="str">
        <f>UPPER(SUBSTITUTE(SUBSTITUTE(VLOOKUP(A13,'1_Raw_Data'!$A:$J,7,0),"€","EUR"),"£","GBP"))</f>
        <v>EUR</v>
      </c>
      <c r="H13" t="str">
        <f>IFERROR(VLOOKUP(LOWER(VLOOKUP(A13,'1_Raw_Data'!$A:$J,8,0)),LookupSheet!$C:$D,2,0),IFERROR(VLOOKUP(LOWER(TEXT(VLOOKUP(A13,'1_Raw_Data'!$A:$J,8,0),"mmm-yy")),LookupSheet!$C:$D,2,0),VLOOKUP(A13,'1_Raw_Data'!$A:$J,8,0)))</f>
        <v>Feb-2024</v>
      </c>
      <c r="I13" t="str">
        <f>IFERROR(VLOOKUP(LOWER(VLOOKUP(A13,'1_Raw_Data'!$A:$J,9,0)),LookupSheet!$E:$F,2,0),VLOOKUP(A13,'1_Raw_Data'!$A:$J,9,0))</f>
        <v>Confirmed</v>
      </c>
      <c r="J13" t="str">
        <f>IFERROR(IF(VLOOKUP(A13,'1_Raw_Data'!$A:$J,10,FALSE)="","",VLOOKUP(A13,'1_Raw_Data'!$A:$J,10,FALSE)),"")</f>
        <v>Amended</v>
      </c>
      <c r="K13" t="str">
        <f t="shared" si="0"/>
        <v>Invoice_Amount_GBP: Missing</v>
      </c>
      <c r="L13">
        <f>IF(G13="GBP",1,VLOOKUP(H13,FX_Rates!$A:$B,2,0))</f>
        <v>0.85370000000000001</v>
      </c>
    </row>
    <row r="14" spans="1:12">
      <c r="A14">
        <f>IFERROR(INDEX('1_Raw_Data'!$A:$A,MATCH(ROW()-1,'1_Raw_Data'!$M:$M,0)),"")</f>
        <v>13</v>
      </c>
      <c r="B14" t="str">
        <f>IFERROR(VLOOKUP(LOWER(VLOOKUP(A14,'1_Raw_Data'!$A:$J,2,0)),LookupSheet!$A:$B,2,0),"MISSING")</f>
        <v>Sweden</v>
      </c>
      <c r="C14" t="str">
        <f>VLOOKUP(A14,'1_Raw_Data'!$A:$J,3,0)</f>
        <v>WPP Media</v>
      </c>
      <c r="D14" t="str">
        <f>VLOOKUP(A14,'1_Raw_Data'!$A:$J,4,0)</f>
        <v>Premium Tier Push</v>
      </c>
      <c r="E14" s="22">
        <f>'1_Raw_Data'!E14*L14</f>
        <v>48886.22</v>
      </c>
      <c r="F14" s="22">
        <f>IF('1_Raw_Data'!F14="","MISSING",'1_Raw_Data'!F14*L14)</f>
        <v>51185.73</v>
      </c>
      <c r="G14" t="str">
        <f>UPPER(SUBSTITUTE(SUBSTITUTE(VLOOKUP(A14,'1_Raw_Data'!$A:$J,7,0),"€","EUR"),"£","GBP"))</f>
        <v>GBP</v>
      </c>
      <c r="H14" t="str">
        <f>IFERROR(VLOOKUP(LOWER(VLOOKUP(A14,'1_Raw_Data'!$A:$J,8,0)),LookupSheet!$C:$D,2,0),IFERROR(VLOOKUP(LOWER(TEXT(VLOOKUP(A14,'1_Raw_Data'!$A:$J,8,0),"mmm-yy")),LookupSheet!$C:$D,2,0),VLOOKUP(A14,'1_Raw_Data'!$A:$J,8,0)))</f>
        <v>Jan-2024</v>
      </c>
      <c r="I14" t="str">
        <f>IFERROR(VLOOKUP(LOWER(VLOOKUP(A14,'1_Raw_Data'!$A:$J,9,0)),LookupSheet!$E:$F,2,0),VLOOKUP(A14,'1_Raw_Data'!$A:$J,9,0))</f>
        <v>Confirmed</v>
      </c>
      <c r="J14" t="str">
        <f>IFERROR(IF(VLOOKUP(A14,'1_Raw_Data'!$A:$J,10,FALSE)="","",VLOOKUP(A14,'1_Raw_Data'!$A:$J,10,FALSE)),"")</f>
        <v>Original lost</v>
      </c>
      <c r="K14" t="str">
        <f t="shared" si="0"/>
        <v>Clean</v>
      </c>
      <c r="L14">
        <f>IF(G14="GBP",1,VLOOKUP(H14,FX_Rates!$A:$B,2,0))</f>
        <v>1</v>
      </c>
    </row>
    <row r="15" spans="1:12">
      <c r="A15">
        <f>IFERROR(INDEX('1_Raw_Data'!$A:$A,MATCH(ROW()-1,'1_Raw_Data'!$M:$M,0)),"")</f>
        <v>14</v>
      </c>
      <c r="B15" t="str">
        <f>IFERROR(VLOOKUP(LOWER(VLOOKUP(A15,'1_Raw_Data'!$A:$J,2,0)),LookupSheet!$A:$B,2,0),"MISSING")</f>
        <v>Germany</v>
      </c>
      <c r="C15" t="str">
        <f>VLOOKUP(A15,'1_Raw_Data'!$A:$J,3,0)</f>
        <v>Havas Media</v>
      </c>
      <c r="D15" t="str">
        <f>VLOOKUP(A15,'1_Raw_Data'!$A:$J,4,0)</f>
        <v>Subscriber Acquisition - Spring</v>
      </c>
      <c r="E15" s="22">
        <f>'1_Raw_Data'!E15*L15</f>
        <v>38752.51</v>
      </c>
      <c r="F15" s="22">
        <f>IF('1_Raw_Data'!F15="","MISSING",'1_Raw_Data'!F15*L15)</f>
        <v>38752.51</v>
      </c>
      <c r="G15" t="str">
        <f>UPPER(SUBSTITUTE(SUBSTITUTE(VLOOKUP(A15,'1_Raw_Data'!$A:$J,7,0),"€","EUR"),"£","GBP"))</f>
        <v>GBP</v>
      </c>
      <c r="H15" t="str">
        <f>IFERROR(VLOOKUP(LOWER(VLOOKUP(A15,'1_Raw_Data'!$A:$J,8,0)),LookupSheet!$C:$D,2,0),IFERROR(VLOOKUP(LOWER(TEXT(VLOOKUP(A15,'1_Raw_Data'!$A:$J,8,0),"mmm-yy")),LookupSheet!$C:$D,2,0),VLOOKUP(A15,'1_Raw_Data'!$A:$J,8,0)))</f>
        <v>Mar-2024</v>
      </c>
      <c r="I15" t="str">
        <f>IFERROR(VLOOKUP(LOWER(VLOOKUP(A15,'1_Raw_Data'!$A:$J,9,0)),LookupSheet!$E:$F,2,0),VLOOKUP(A15,'1_Raw_Data'!$A:$J,9,0))</f>
        <v>Disputed</v>
      </c>
      <c r="J15" t="str">
        <f>IFERROR(IF(VLOOKUP(A15,'1_Raw_Data'!$A:$J,10,FALSE)="","",VLOOKUP(A15,'1_Raw_Data'!$A:$J,10,FALSE)),"")</f>
        <v/>
      </c>
      <c r="K15" t="str">
        <f t="shared" si="0"/>
        <v>Clean</v>
      </c>
      <c r="L15">
        <f>IF(G15="GBP",1,VLOOKUP(H15,FX_Rates!$A:$B,2,0))</f>
        <v>1</v>
      </c>
    </row>
    <row r="16" spans="1:12">
      <c r="A16">
        <f>IFERROR(INDEX('1_Raw_Data'!$A:$A,MATCH(ROW()-1,'1_Raw_Data'!$M:$M,0)),"")</f>
        <v>15</v>
      </c>
      <c r="B16" t="str">
        <f>IFERROR(VLOOKUP(LOWER(VLOOKUP(A16,'1_Raw_Data'!$A:$J,2,0)),LookupSheet!$A:$B,2,0),"MISSING")</f>
        <v>Netherlands</v>
      </c>
      <c r="C16" t="str">
        <f>VLOOKUP(A16,'1_Raw_Data'!$A:$J,3,0)</f>
        <v>WPP Media</v>
      </c>
      <c r="D16" t="str">
        <f>VLOOKUP(A16,'1_Raw_Data'!$A:$J,4,0)</f>
        <v>Influencer Collab Feb</v>
      </c>
      <c r="E16" s="22">
        <f>'1_Raw_Data'!E16*L16</f>
        <v>33083.017787000004</v>
      </c>
      <c r="F16" s="22">
        <f>IF('1_Raw_Data'!F16="","MISSING",'1_Raw_Data'!F16*L16)</f>
        <v>33083.017787000004</v>
      </c>
      <c r="G16" t="str">
        <f>UPPER(SUBSTITUTE(SUBSTITUTE(VLOOKUP(A16,'1_Raw_Data'!$A:$J,7,0),"€","EUR"),"£","GBP"))</f>
        <v>EUR</v>
      </c>
      <c r="H16" t="str">
        <f>IFERROR(VLOOKUP(LOWER(VLOOKUP(A16,'1_Raw_Data'!$A:$J,8,0)),LookupSheet!$C:$D,2,0),IFERROR(VLOOKUP(LOWER(TEXT(VLOOKUP(A16,'1_Raw_Data'!$A:$J,8,0),"mmm-yy")),LookupSheet!$C:$D,2,0),VLOOKUP(A16,'1_Raw_Data'!$A:$J,8,0)))</f>
        <v>Feb-2024</v>
      </c>
      <c r="I16" t="str">
        <f>IFERROR(VLOOKUP(LOWER(VLOOKUP(A16,'1_Raw_Data'!$A:$J,9,0)),LookupSheet!$E:$F,2,0),VLOOKUP(A16,'1_Raw_Data'!$A:$J,9,0))</f>
        <v>Under Review</v>
      </c>
      <c r="J16" t="str">
        <f>IFERROR(IF(VLOOKUP(A16,'1_Raw_Data'!$A:$J,10,FALSE)="","",VLOOKUP(A16,'1_Raw_Data'!$A:$J,10,FALSE)),"")</f>
        <v/>
      </c>
      <c r="K16" t="str">
        <f t="shared" si="0"/>
        <v>Clean</v>
      </c>
      <c r="L16">
        <f>IF(G16="GBP",1,VLOOKUP(H16,FX_Rates!$A:$B,2,0))</f>
        <v>0.85370000000000001</v>
      </c>
    </row>
    <row r="17" spans="1:12">
      <c r="A17">
        <f>IFERROR(INDEX('1_Raw_Data'!$A:$A,MATCH(ROW()-1,'1_Raw_Data'!$M:$M,0)),"")</f>
        <v>16</v>
      </c>
      <c r="B17" t="str">
        <f>IFERROR(VLOOKUP(LOWER(VLOOKUP(A17,'1_Raw_Data'!$A:$J,2,0)),LookupSheet!$A:$B,2,0),"MISSING")</f>
        <v>Netherlands</v>
      </c>
      <c r="C17" t="str">
        <f>VLOOKUP(A17,'1_Raw_Data'!$A:$J,3,0)</f>
        <v>Mindshare</v>
      </c>
      <c r="D17" t="str">
        <f>VLOOKUP(A17,'1_Raw_Data'!$A:$J,4,0)</f>
        <v>Data-Driven Creative</v>
      </c>
      <c r="E17" s="22">
        <f>'1_Raw_Data'!E17*L17</f>
        <v>76909.52</v>
      </c>
      <c r="F17" s="22">
        <f>IF('1_Raw_Data'!F17="","MISSING",'1_Raw_Data'!F17*L17)</f>
        <v>80411.7</v>
      </c>
      <c r="G17" t="str">
        <f>UPPER(SUBSTITUTE(SUBSTITUTE(VLOOKUP(A17,'1_Raw_Data'!$A:$J,7,0),"€","EUR"),"£","GBP"))</f>
        <v>GBP</v>
      </c>
      <c r="H17" t="str">
        <f>IFERROR(VLOOKUP(LOWER(VLOOKUP(A17,'1_Raw_Data'!$A:$J,8,0)),LookupSheet!$C:$D,2,0),IFERROR(VLOOKUP(LOWER(TEXT(VLOOKUP(A17,'1_Raw_Data'!$A:$J,8,0),"mmm-yy")),LookupSheet!$C:$D,2,0),VLOOKUP(A17,'1_Raw_Data'!$A:$J,8,0)))</f>
        <v>Feb-2024</v>
      </c>
      <c r="I17" t="str">
        <f>IFERROR(VLOOKUP(LOWER(VLOOKUP(A17,'1_Raw_Data'!$A:$J,9,0)),LookupSheet!$E:$F,2,0),VLOOKUP(A17,'1_Raw_Data'!$A:$J,9,0))</f>
        <v>Under Review</v>
      </c>
      <c r="J17" t="str">
        <f>IFERROR(IF(VLOOKUP(A17,'1_Raw_Data'!$A:$J,10,FALSE)="","",VLOOKUP(A17,'1_Raw_Data'!$A:$J,10,FALSE)),"")</f>
        <v>Late invoice</v>
      </c>
      <c r="K17" t="str">
        <f t="shared" si="0"/>
        <v>Clean</v>
      </c>
      <c r="L17">
        <f>IF(G17="GBP",1,VLOOKUP(H17,FX_Rates!$A:$B,2,0))</f>
        <v>1</v>
      </c>
    </row>
    <row r="18" spans="1:12">
      <c r="A18">
        <f>IFERROR(INDEX('1_Raw_Data'!$A:$A,MATCH(ROW()-1,'1_Raw_Data'!$M:$M,0)),"")</f>
        <v>17</v>
      </c>
      <c r="B18" t="str">
        <f>IFERROR(VLOOKUP(LOWER(VLOOKUP(A18,'1_Raw_Data'!$A:$J,2,0)),LookupSheet!$A:$B,2,0),"MISSING")</f>
        <v>Germany</v>
      </c>
      <c r="C18" t="str">
        <f>VLOOKUP(A18,'1_Raw_Data'!$A:$J,3,0)</f>
        <v>GroupM</v>
      </c>
      <c r="D18" t="str">
        <f>VLOOKUP(A18,'1_Raw_Data'!$A:$J,4,0)</f>
        <v>Q2 Retargeting Sweep</v>
      </c>
      <c r="E18" s="22">
        <f>'1_Raw_Data'!E18*L18</f>
        <v>4341.8714669999999</v>
      </c>
      <c r="F18" s="22">
        <f>IF('1_Raw_Data'!F18="","MISSING",'1_Raw_Data'!F18*L18)</f>
        <v>4341.8714669999999</v>
      </c>
      <c r="G18" t="str">
        <f>UPPER(SUBSTITUTE(SUBSTITUTE(VLOOKUP(A18,'1_Raw_Data'!$A:$J,7,0),"€","EUR"),"£","GBP"))</f>
        <v>EUR</v>
      </c>
      <c r="H18" t="str">
        <f>IFERROR(VLOOKUP(LOWER(VLOOKUP(A18,'1_Raw_Data'!$A:$J,8,0)),LookupSheet!$C:$D,2,0),IFERROR(VLOOKUP(LOWER(TEXT(VLOOKUP(A18,'1_Raw_Data'!$A:$J,8,0),"mmm-yy")),LookupSheet!$C:$D,2,0),VLOOKUP(A18,'1_Raw_Data'!$A:$J,8,0)))</f>
        <v>Jan-2024</v>
      </c>
      <c r="I18" t="str">
        <f>IFERROR(VLOOKUP(LOWER(VLOOKUP(A18,'1_Raw_Data'!$A:$J,9,0)),LookupSheet!$E:$F,2,0),VLOOKUP(A18,'1_Raw_Data'!$A:$J,9,0))</f>
        <v>Disputed</v>
      </c>
      <c r="J18" t="str">
        <f>IFERROR(IF(VLOOKUP(A18,'1_Raw_Data'!$A:$J,10,FALSE)="","",VLOOKUP(A18,'1_Raw_Data'!$A:$J,10,FALSE)),"")</f>
        <v/>
      </c>
      <c r="K18" t="str">
        <f t="shared" si="0"/>
        <v>Clean</v>
      </c>
      <c r="L18">
        <f>IF(G18="GBP",1,VLOOKUP(H18,FX_Rates!$A:$B,2,0))</f>
        <v>0.85709999999999997</v>
      </c>
    </row>
    <row r="19" spans="1:12">
      <c r="A19">
        <f>IFERROR(INDEX('1_Raw_Data'!$A:$A,MATCH(ROW()-1,'1_Raw_Data'!$M:$M,0)),"")</f>
        <v>18</v>
      </c>
      <c r="B19" t="str">
        <f>IFERROR(VLOOKUP(LOWER(VLOOKUP(A19,'1_Raw_Data'!$A:$J,2,0)),LookupSheet!$A:$B,2,0),"MISSING")</f>
        <v>France</v>
      </c>
      <c r="C19" t="str">
        <f>VLOOKUP(A19,'1_Raw_Data'!$A:$J,3,0)</f>
        <v>Hearts &amp; Science</v>
      </c>
      <c r="D19" t="str">
        <f>VLOOKUP(A19,'1_Raw_Data'!$A:$J,4,0)</f>
        <v>EMEA Upfront Deal</v>
      </c>
      <c r="E19" s="22">
        <f>'1_Raw_Data'!E19*L19</f>
        <v>89439.608399999997</v>
      </c>
      <c r="F19" s="22">
        <f>IF('1_Raw_Data'!F19="","MISSING",'1_Raw_Data'!F19*L19)</f>
        <v>90870.264360000001</v>
      </c>
      <c r="G19" t="str">
        <f>UPPER(SUBSTITUTE(SUBSTITUTE(VLOOKUP(A19,'1_Raw_Data'!$A:$J,7,0),"€","EUR"),"£","GBP"))</f>
        <v>EUR</v>
      </c>
      <c r="H19" t="str">
        <f>IFERROR(VLOOKUP(LOWER(VLOOKUP(A19,'1_Raw_Data'!$A:$J,8,0)),LookupSheet!$C:$D,2,0),IFERROR(VLOOKUP(LOWER(TEXT(VLOOKUP(A19,'1_Raw_Data'!$A:$J,8,0),"mmm-yy")),LookupSheet!$C:$D,2,0),VLOOKUP(A19,'1_Raw_Data'!$A:$J,8,0)))</f>
        <v>Jun-2024</v>
      </c>
      <c r="I19" t="str">
        <f>IFERROR(VLOOKUP(LOWER(VLOOKUP(A19,'1_Raw_Data'!$A:$J,9,0)),LookupSheet!$E:$F,2,0),VLOOKUP(A19,'1_Raw_Data'!$A:$J,9,0))</f>
        <v>Pending</v>
      </c>
      <c r="J19" t="str">
        <f>IFERROR(IF(VLOOKUP(A19,'1_Raw_Data'!$A:$J,10,FALSE)="","",VLOOKUP(A19,'1_Raw_Data'!$A:$J,10,FALSE)),"")</f>
        <v>Late invoice</v>
      </c>
      <c r="K19" t="str">
        <f t="shared" si="0"/>
        <v>Clean</v>
      </c>
      <c r="L19">
        <f>IF(G19="GBP",1,VLOOKUP(H19,FX_Rates!$A:$B,2,0))</f>
        <v>0.84399999999999997</v>
      </c>
    </row>
    <row r="20" spans="1:12">
      <c r="A20">
        <f>IFERROR(INDEX('1_Raw_Data'!$A:$A,MATCH(ROW()-1,'1_Raw_Data'!$M:$M,0)),"")</f>
        <v>19</v>
      </c>
      <c r="B20" t="str">
        <f>IFERROR(VLOOKUP(LOWER(VLOOKUP(A20,'1_Raw_Data'!$A:$J,2,0)),LookupSheet!$A:$B,2,0),"MISSING")</f>
        <v>Italy</v>
      </c>
      <c r="C20" t="str">
        <f>VLOOKUP(A20,'1_Raw_Data'!$A:$J,3,0)</f>
        <v>Havas Media</v>
      </c>
      <c r="D20" t="str">
        <f>VLOOKUP(A20,'1_Raw_Data'!$A:$J,4,0)</f>
        <v>Winter Churn Prevention</v>
      </c>
      <c r="E20" s="22">
        <f>'1_Raw_Data'!E20*L20</f>
        <v>20547.092400000001</v>
      </c>
      <c r="F20" s="22">
        <f>IF('1_Raw_Data'!F20="","MISSING",'1_Raw_Data'!F20*L20)</f>
        <v>19775.788455000002</v>
      </c>
      <c r="G20" t="str">
        <f>UPPER(SUBSTITUTE(SUBSTITUTE(VLOOKUP(A20,'1_Raw_Data'!$A:$J,7,0),"€","EUR"),"£","GBP"))</f>
        <v>EUR</v>
      </c>
      <c r="H20" t="str">
        <f>IFERROR(VLOOKUP(LOWER(VLOOKUP(A20,'1_Raw_Data'!$A:$J,8,0)),LookupSheet!$C:$D,2,0),IFERROR(VLOOKUP(LOWER(TEXT(VLOOKUP(A20,'1_Raw_Data'!$A:$J,8,0),"mmm-yy")),LookupSheet!$C:$D,2,0),VLOOKUP(A20,'1_Raw_Data'!$A:$J,8,0)))</f>
        <v>Mar-2024</v>
      </c>
      <c r="I20" t="str">
        <f>IFERROR(VLOOKUP(LOWER(VLOOKUP(A20,'1_Raw_Data'!$A:$J,9,0)),LookupSheet!$E:$F,2,0),VLOOKUP(A20,'1_Raw_Data'!$A:$J,9,0))</f>
        <v>Confirmed</v>
      </c>
      <c r="J20" t="str">
        <f>IFERROR(IF(VLOOKUP(A20,'1_Raw_Data'!$A:$J,10,FALSE)="","",VLOOKUP(A20,'1_Raw_Data'!$A:$J,10,FALSE)),"")</f>
        <v>Check with agency</v>
      </c>
      <c r="K20" t="str">
        <f t="shared" si="0"/>
        <v>Clean</v>
      </c>
      <c r="L20">
        <f>IF(G20="GBP",1,VLOOKUP(H20,FX_Rates!$A:$B,2,0))</f>
        <v>0.85650000000000004</v>
      </c>
    </row>
    <row r="21" spans="1:12">
      <c r="A21">
        <f>IFERROR(INDEX('1_Raw_Data'!$A:$A,MATCH(ROW()-1,'1_Raw_Data'!$M:$M,0)),"")</f>
        <v>20</v>
      </c>
      <c r="B21" t="str">
        <f>IFERROR(VLOOKUP(LOWER(VLOOKUP(A21,'1_Raw_Data'!$A:$J,2,0)),LookupSheet!$A:$B,2,0),"MISSING")</f>
        <v>UK</v>
      </c>
      <c r="C21" t="str">
        <f>VLOOKUP(A21,'1_Raw_Data'!$A:$J,3,0)</f>
        <v>MediaCom</v>
      </c>
      <c r="D21" t="str">
        <f>VLOOKUP(A21,'1_Raw_Data'!$A:$J,4,0)</f>
        <v>EMEA Upfront Deal</v>
      </c>
      <c r="E21" s="22">
        <f>'1_Raw_Data'!E21*L21</f>
        <v>92957.311901999987</v>
      </c>
      <c r="F21" s="22">
        <f>IF('1_Raw_Data'!F21="","MISSING",'1_Raw_Data'!F21*L21)</f>
        <v>92957.311901999987</v>
      </c>
      <c r="G21" t="str">
        <f>UPPER(SUBSTITUTE(SUBSTITUTE(VLOOKUP(A21,'1_Raw_Data'!$A:$J,7,0),"€","EUR"),"£","GBP"))</f>
        <v>EUR</v>
      </c>
      <c r="H21" t="str">
        <f>IFERROR(VLOOKUP(LOWER(VLOOKUP(A21,'1_Raw_Data'!$A:$J,8,0)),LookupSheet!$C:$D,2,0),IFERROR(VLOOKUP(LOWER(TEXT(VLOOKUP(A21,'1_Raw_Data'!$A:$J,8,0),"mmm-yy")),LookupSheet!$C:$D,2,0),VLOOKUP(A21,'1_Raw_Data'!$A:$J,8,0)))</f>
        <v>Jan-2024</v>
      </c>
      <c r="I21" t="str">
        <f>IFERROR(VLOOKUP(LOWER(VLOOKUP(A21,'1_Raw_Data'!$A:$J,9,0)),LookupSheet!$E:$F,2,0),VLOOKUP(A21,'1_Raw_Data'!$A:$J,9,0))</f>
        <v>Pending</v>
      </c>
      <c r="J21" t="str">
        <f>IFERROR(IF(VLOOKUP(A21,'1_Raw_Data'!$A:$J,10,FALSE)="","",VLOOKUP(A21,'1_Raw_Data'!$A:$J,10,FALSE)),"")</f>
        <v/>
      </c>
      <c r="K21" t="str">
        <f t="shared" si="0"/>
        <v>Clean</v>
      </c>
      <c r="L21">
        <f>IF(G21="GBP",1,VLOOKUP(H21,FX_Rates!$A:$B,2,0))</f>
        <v>0.85709999999999997</v>
      </c>
    </row>
    <row r="22" spans="1:12">
      <c r="A22">
        <f>IFERROR(INDEX('1_Raw_Data'!$A:$A,MATCH(ROW()-1,'1_Raw_Data'!$M:$M,0)),"")</f>
        <v>21</v>
      </c>
      <c r="B22" t="str">
        <f>IFERROR(VLOOKUP(LOWER(VLOOKUP(A22,'1_Raw_Data'!$A:$J,2,0)),LookupSheet!$A:$B,2,0),"MISSING")</f>
        <v>UK</v>
      </c>
      <c r="C22" t="str">
        <f>VLOOKUP(A22,'1_Raw_Data'!$A:$J,3,0)</f>
        <v>Havas Media</v>
      </c>
      <c r="D22" t="str">
        <f>VLOOKUP(A22,'1_Raw_Data'!$A:$J,4,0)</f>
        <v>Subscriber Acquisition - Spring</v>
      </c>
      <c r="E22" s="22">
        <f>'1_Raw_Data'!E22*L22</f>
        <v>26948.222235000001</v>
      </c>
      <c r="F22" s="22">
        <f>IF('1_Raw_Data'!F22="","MISSING",'1_Raw_Data'!F22*L22)</f>
        <v>26948.222235000001</v>
      </c>
      <c r="G22" t="str">
        <f>UPPER(SUBSTITUTE(SUBSTITUTE(VLOOKUP(A22,'1_Raw_Data'!$A:$J,7,0),"€","EUR"),"£","GBP"))</f>
        <v>EUR</v>
      </c>
      <c r="H22" t="str">
        <f>IFERROR(VLOOKUP(LOWER(VLOOKUP(A22,'1_Raw_Data'!$A:$J,8,0)),LookupSheet!$C:$D,2,0),IFERROR(VLOOKUP(LOWER(TEXT(VLOOKUP(A22,'1_Raw_Data'!$A:$J,8,0),"mmm-yy")),LookupSheet!$C:$D,2,0),VLOOKUP(A22,'1_Raw_Data'!$A:$J,8,0)))</f>
        <v>Mar-2024</v>
      </c>
      <c r="I22" t="str">
        <f>IFERROR(VLOOKUP(LOWER(VLOOKUP(A22,'1_Raw_Data'!$A:$J,9,0)),LookupSheet!$E:$F,2,0),VLOOKUP(A22,'1_Raw_Data'!$A:$J,9,0))</f>
        <v>Disputed</v>
      </c>
      <c r="J22" t="str">
        <f>IFERROR(IF(VLOOKUP(A22,'1_Raw_Data'!$A:$J,10,FALSE)="","",VLOOKUP(A22,'1_Raw_Data'!$A:$J,10,FALSE)),"")</f>
        <v/>
      </c>
      <c r="K22" t="str">
        <f t="shared" si="0"/>
        <v>Clean</v>
      </c>
      <c r="L22">
        <f>IF(G22="GBP",1,VLOOKUP(H22,FX_Rates!$A:$B,2,0))</f>
        <v>0.85650000000000004</v>
      </c>
    </row>
    <row r="23" spans="1:12">
      <c r="A23">
        <f>IFERROR(INDEX('1_Raw_Data'!$A:$A,MATCH(ROW()-1,'1_Raw_Data'!$M:$M,0)),"")</f>
        <v>22</v>
      </c>
      <c r="B23" t="str">
        <f>IFERROR(VLOOKUP(LOWER(VLOOKUP(A23,'1_Raw_Data'!$A:$J,2,0)),LookupSheet!$A:$B,2,0),"MISSING")</f>
        <v>Sweden</v>
      </c>
      <c r="C23" t="str">
        <f>VLOOKUP(A23,'1_Raw_Data'!$A:$J,3,0)</f>
        <v>MediaCom</v>
      </c>
      <c r="D23" t="str">
        <f>VLOOKUP(A23,'1_Raw_Data'!$A:$J,4,0)</f>
        <v>Winter Churn Prevention</v>
      </c>
      <c r="E23" s="22">
        <f>'1_Raw_Data'!E23*L23</f>
        <v>64127.95</v>
      </c>
      <c r="F23" s="22">
        <f>IF('1_Raw_Data'!F23="","MISSING",'1_Raw_Data'!F23*L23)</f>
        <v>64127.95</v>
      </c>
      <c r="G23" t="str">
        <f>UPPER(SUBSTITUTE(SUBSTITUTE(VLOOKUP(A23,'1_Raw_Data'!$A:$J,7,0),"€","EUR"),"£","GBP"))</f>
        <v>GBP</v>
      </c>
      <c r="H23" t="str">
        <f>IFERROR(VLOOKUP(LOWER(VLOOKUP(A23,'1_Raw_Data'!$A:$J,8,0)),LookupSheet!$C:$D,2,0),IFERROR(VLOOKUP(LOWER(TEXT(VLOOKUP(A23,'1_Raw_Data'!$A:$J,8,0),"mmm-yy")),LookupSheet!$C:$D,2,0),VLOOKUP(A23,'1_Raw_Data'!$A:$J,8,0)))</f>
        <v>Mar-2024</v>
      </c>
      <c r="I23" t="str">
        <f>IFERROR(VLOOKUP(LOWER(VLOOKUP(A23,'1_Raw_Data'!$A:$J,9,0)),LookupSheet!$E:$F,2,0),VLOOKUP(A23,'1_Raw_Data'!$A:$J,9,0))</f>
        <v>Confirmed</v>
      </c>
      <c r="J23" t="str">
        <f>IFERROR(IF(VLOOKUP(A23,'1_Raw_Data'!$A:$J,10,FALSE)="","",VLOOKUP(A23,'1_Raw_Data'!$A:$J,10,FALSE)),"")</f>
        <v/>
      </c>
      <c r="K23" t="str">
        <f t="shared" si="0"/>
        <v>Clean</v>
      </c>
      <c r="L23">
        <f>IF(G23="GBP",1,VLOOKUP(H23,FX_Rates!$A:$B,2,0))</f>
        <v>1</v>
      </c>
    </row>
    <row r="24" spans="1:12">
      <c r="A24">
        <f>IFERROR(INDEX('1_Raw_Data'!$A:$A,MATCH(ROW()-1,'1_Raw_Data'!$M:$M,0)),"")</f>
        <v>23</v>
      </c>
      <c r="B24" t="str">
        <f>IFERROR(VLOOKUP(LOWER(VLOOKUP(A24,'1_Raw_Data'!$A:$J,2,0)),LookupSheet!$A:$B,2,0),"MISSING")</f>
        <v>Italy</v>
      </c>
      <c r="C24" t="str">
        <f>VLOOKUP(A24,'1_Raw_Data'!$A:$J,3,0)</f>
        <v>Havas Media</v>
      </c>
      <c r="D24" t="str">
        <f>VLOOKUP(A24,'1_Raw_Data'!$A:$J,4,0)</f>
        <v>Premium Tier Push</v>
      </c>
      <c r="E24" s="22">
        <f>'1_Raw_Data'!E24*L24</f>
        <v>28236.885227999999</v>
      </c>
      <c r="F24" s="22">
        <f>IF('1_Raw_Data'!F24="","MISSING",'1_Raw_Data'!F24*L24)</f>
        <v>28236.885227999999</v>
      </c>
      <c r="G24" t="str">
        <f>UPPER(SUBSTITUTE(SUBSTITUTE(VLOOKUP(A24,'1_Raw_Data'!$A:$J,7,0),"€","EUR"),"£","GBP"))</f>
        <v>EUR</v>
      </c>
      <c r="H24" t="str">
        <f>IFERROR(VLOOKUP(LOWER(VLOOKUP(A24,'1_Raw_Data'!$A:$J,8,0)),LookupSheet!$C:$D,2,0),IFERROR(VLOOKUP(LOWER(TEXT(VLOOKUP(A24,'1_Raw_Data'!$A:$J,8,0),"mmm-yy")),LookupSheet!$C:$D,2,0),VLOOKUP(A24,'1_Raw_Data'!$A:$J,8,0)))</f>
        <v>Jan-2024</v>
      </c>
      <c r="I24" t="str">
        <f>IFERROR(VLOOKUP(LOWER(VLOOKUP(A24,'1_Raw_Data'!$A:$J,9,0)),LookupSheet!$E:$F,2,0),VLOOKUP(A24,'1_Raw_Data'!$A:$J,9,0))</f>
        <v>Under Review</v>
      </c>
      <c r="J24" t="str">
        <f>IFERROR(IF(VLOOKUP(A24,'1_Raw_Data'!$A:$J,10,FALSE)="","",VLOOKUP(A24,'1_Raw_Data'!$A:$J,10,FALSE)),"")</f>
        <v>Check with agency</v>
      </c>
      <c r="K24" t="str">
        <f t="shared" si="0"/>
        <v>Clean</v>
      </c>
      <c r="L24">
        <f>IF(G24="GBP",1,VLOOKUP(H24,FX_Rates!$A:$B,2,0))</f>
        <v>0.85709999999999997</v>
      </c>
    </row>
    <row r="25" spans="1:12">
      <c r="A25">
        <f>IFERROR(INDEX('1_Raw_Data'!$A:$A,MATCH(ROW()-1,'1_Raw_Data'!$M:$M,0)),"")</f>
        <v>24</v>
      </c>
      <c r="B25" t="str">
        <f>IFERROR(VLOOKUP(LOWER(VLOOKUP(A25,'1_Raw_Data'!$A:$J,2,0)),LookupSheet!$A:$B,2,0),"MISSING")</f>
        <v>France</v>
      </c>
      <c r="C25" t="str">
        <f>VLOOKUP(A25,'1_Raw_Data'!$A:$J,3,0)</f>
        <v>Dentsu</v>
      </c>
      <c r="D25" t="str">
        <f>VLOOKUP(A25,'1_Raw_Data'!$A:$J,4,0)</f>
        <v>Q2 Retargeting Sweep</v>
      </c>
      <c r="E25" s="22">
        <f>'1_Raw_Data'!E25*L25</f>
        <v>52276.76</v>
      </c>
      <c r="F25" s="22">
        <f>IF('1_Raw_Data'!F25="","MISSING",'1_Raw_Data'!F25*L25)</f>
        <v>52997.760000000002</v>
      </c>
      <c r="G25" t="str">
        <f>UPPER(SUBSTITUTE(SUBSTITUTE(VLOOKUP(A25,'1_Raw_Data'!$A:$J,7,0),"€","EUR"),"£","GBP"))</f>
        <v>GBP</v>
      </c>
      <c r="H25" t="str">
        <f>IFERROR(VLOOKUP(LOWER(VLOOKUP(A25,'1_Raw_Data'!$A:$J,8,0)),LookupSheet!$C:$D,2,0),IFERROR(VLOOKUP(LOWER(TEXT(VLOOKUP(A25,'1_Raw_Data'!$A:$J,8,0),"mmm-yy")),LookupSheet!$C:$D,2,0),VLOOKUP(A25,'1_Raw_Data'!$A:$J,8,0)))</f>
        <v>Feb-2024</v>
      </c>
      <c r="I25" t="str">
        <f>IFERROR(VLOOKUP(LOWER(VLOOKUP(A25,'1_Raw_Data'!$A:$J,9,0)),LookupSheet!$E:$F,2,0),VLOOKUP(A25,'1_Raw_Data'!$A:$J,9,0))</f>
        <v>Pending</v>
      </c>
      <c r="J25" t="str">
        <f>IFERROR(IF(VLOOKUP(A25,'1_Raw_Data'!$A:$J,10,FALSE)="","",VLOOKUP(A25,'1_Raw_Data'!$A:$J,10,FALSE)),"")</f>
        <v>Re-sent</v>
      </c>
      <c r="K25" t="str">
        <f t="shared" si="0"/>
        <v>Clean</v>
      </c>
      <c r="L25">
        <f>IF(G25="GBP",1,VLOOKUP(H25,FX_Rates!$A:$B,2,0))</f>
        <v>1</v>
      </c>
    </row>
    <row r="26" spans="1:12">
      <c r="A26">
        <f>IFERROR(INDEX('1_Raw_Data'!$A:$A,MATCH(ROW()-1,'1_Raw_Data'!$M:$M,0)),"")</f>
        <v>25</v>
      </c>
      <c r="B26" t="str">
        <f>IFERROR(VLOOKUP(LOWER(VLOOKUP(A26,'1_Raw_Data'!$A:$J,2,0)),LookupSheet!$A:$B,2,0),"MISSING")</f>
        <v>Germany</v>
      </c>
      <c r="C26" t="str">
        <f>VLOOKUP(A26,'1_Raw_Data'!$A:$J,3,0)</f>
        <v>WPP Media</v>
      </c>
      <c r="D26" t="str">
        <f>VLOOKUP(A26,'1_Raw_Data'!$A:$J,4,0)</f>
        <v>Winter Churn Prevention</v>
      </c>
      <c r="E26" s="22">
        <f>'1_Raw_Data'!E26*L26</f>
        <v>26874.02</v>
      </c>
      <c r="F26" s="22">
        <f>IF('1_Raw_Data'!F26="","MISSING",'1_Raw_Data'!F26*L26)</f>
        <v>26874.02</v>
      </c>
      <c r="G26" t="str">
        <f>UPPER(SUBSTITUTE(SUBSTITUTE(VLOOKUP(A26,'1_Raw_Data'!$A:$J,7,0),"€","EUR"),"£","GBP"))</f>
        <v>GBP</v>
      </c>
      <c r="H26" t="str">
        <f>IFERROR(VLOOKUP(LOWER(VLOOKUP(A26,'1_Raw_Data'!$A:$J,8,0)),LookupSheet!$C:$D,2,0),IFERROR(VLOOKUP(LOWER(TEXT(VLOOKUP(A26,'1_Raw_Data'!$A:$J,8,0),"mmm-yy")),LookupSheet!$C:$D,2,0),VLOOKUP(A26,'1_Raw_Data'!$A:$J,8,0)))</f>
        <v>Jan-2024</v>
      </c>
      <c r="I26" t="str">
        <f>IFERROR(VLOOKUP(LOWER(VLOOKUP(A26,'1_Raw_Data'!$A:$J,9,0)),LookupSheet!$E:$F,2,0),VLOOKUP(A26,'1_Raw_Data'!$A:$J,9,0))</f>
        <v>Confirmed</v>
      </c>
      <c r="J26" t="str">
        <f>IFERROR(IF(VLOOKUP(A26,'1_Raw_Data'!$A:$J,10,FALSE)="","",VLOOKUP(A26,'1_Raw_Data'!$A:$J,10,FALSE)),"")</f>
        <v/>
      </c>
      <c r="K26" t="str">
        <f t="shared" si="0"/>
        <v>Clean</v>
      </c>
      <c r="L26">
        <f>IF(G26="GBP",1,VLOOKUP(H26,FX_Rates!$A:$B,2,0))</f>
        <v>1</v>
      </c>
    </row>
    <row r="27" spans="1:12">
      <c r="A27">
        <f>IFERROR(INDEX('1_Raw_Data'!$A:$A,MATCH(ROW()-1,'1_Raw_Data'!$M:$M,0)),"")</f>
        <v>26</v>
      </c>
      <c r="B27" t="str">
        <f>IFERROR(VLOOKUP(LOWER(VLOOKUP(A27,'1_Raw_Data'!$A:$J,2,0)),LookupSheet!$A:$B,2,0),"MISSING")</f>
        <v>France</v>
      </c>
      <c r="C27" t="str">
        <f>VLOOKUP(A27,'1_Raw_Data'!$A:$J,3,0)</f>
        <v>IPG Mediabrands</v>
      </c>
      <c r="D27" t="str">
        <f>VLOOKUP(A27,'1_Raw_Data'!$A:$J,4,0)</f>
        <v>Winter Churn Prevention</v>
      </c>
      <c r="E27" s="22">
        <f>'1_Raw_Data'!E27*L27</f>
        <v>83557.320447999999</v>
      </c>
      <c r="F27" s="22">
        <f>IF('1_Raw_Data'!F27="","MISSING",'1_Raw_Data'!F27*L27)</f>
        <v>84965.564102999997</v>
      </c>
      <c r="G27" t="str">
        <f>UPPER(SUBSTITUTE(SUBSTITUTE(VLOOKUP(A27,'1_Raw_Data'!$A:$J,7,0),"€","EUR"),"£","GBP"))</f>
        <v>EUR</v>
      </c>
      <c r="H27" t="str">
        <f>IFERROR(VLOOKUP(LOWER(VLOOKUP(A27,'1_Raw_Data'!$A:$J,8,0)),LookupSheet!$C:$D,2,0),IFERROR(VLOOKUP(LOWER(TEXT(VLOOKUP(A27,'1_Raw_Data'!$A:$J,8,0),"mmm-yy")),LookupSheet!$C:$D,2,0),VLOOKUP(A27,'1_Raw_Data'!$A:$J,8,0)))</f>
        <v>May-2024</v>
      </c>
      <c r="I27" t="str">
        <f>IFERROR(VLOOKUP(LOWER(VLOOKUP(A27,'1_Raw_Data'!$A:$J,9,0)),LookupSheet!$E:$F,2,0),VLOOKUP(A27,'1_Raw_Data'!$A:$J,9,0))</f>
        <v>Confirmed</v>
      </c>
      <c r="J27" t="str">
        <f>IFERROR(IF(VLOOKUP(A27,'1_Raw_Data'!$A:$J,10,FALSE)="","",VLOOKUP(A27,'1_Raw_Data'!$A:$J,10,FALSE)),"")</f>
        <v>Amended</v>
      </c>
      <c r="K27" t="str">
        <f t="shared" si="0"/>
        <v>Clean</v>
      </c>
      <c r="L27">
        <f>IF(G27="GBP",1,VLOOKUP(H27,FX_Rates!$A:$B,2,0))</f>
        <v>0.85329999999999995</v>
      </c>
    </row>
    <row r="28" spans="1:12">
      <c r="A28">
        <f>IFERROR(INDEX('1_Raw_Data'!$A:$A,MATCH(ROW()-1,'1_Raw_Data'!$M:$M,0)),"")</f>
        <v>27</v>
      </c>
      <c r="B28" t="str">
        <f>IFERROR(VLOOKUP(LOWER(VLOOKUP(A28,'1_Raw_Data'!$A:$J,2,0)),LookupSheet!$A:$B,2,0),"MISSING")</f>
        <v>Germany</v>
      </c>
      <c r="C28" t="str">
        <f>VLOOKUP(A28,'1_Raw_Data'!$A:$J,3,0)</f>
        <v>Hearts &amp; Science</v>
      </c>
      <c r="D28" t="str">
        <f>VLOOKUP(A28,'1_Raw_Data'!$A:$J,4,0)</f>
        <v>Agency Co-op Feb</v>
      </c>
      <c r="E28" s="22">
        <f>'1_Raw_Data'!E28*L28</f>
        <v>60356.22</v>
      </c>
      <c r="F28" s="22">
        <f>IF('1_Raw_Data'!F28="","MISSING",'1_Raw_Data'!F28*L28)</f>
        <v>64772.55</v>
      </c>
      <c r="G28" t="str">
        <f>UPPER(SUBSTITUTE(SUBSTITUTE(VLOOKUP(A28,'1_Raw_Data'!$A:$J,7,0),"€","EUR"),"£","GBP"))</f>
        <v>GBP</v>
      </c>
      <c r="H28" t="str">
        <f>IFERROR(VLOOKUP(LOWER(VLOOKUP(A28,'1_Raw_Data'!$A:$J,8,0)),LookupSheet!$C:$D,2,0),IFERROR(VLOOKUP(LOWER(TEXT(VLOOKUP(A28,'1_Raw_Data'!$A:$J,8,0),"mmm-yy")),LookupSheet!$C:$D,2,0),VLOOKUP(A28,'1_Raw_Data'!$A:$J,8,0)))</f>
        <v>Jun-2024</v>
      </c>
      <c r="I28" t="str">
        <f>IFERROR(VLOOKUP(LOWER(VLOOKUP(A28,'1_Raw_Data'!$A:$J,9,0)),LookupSheet!$E:$F,2,0),VLOOKUP(A28,'1_Raw_Data'!$A:$J,9,0))</f>
        <v>Confirmed</v>
      </c>
      <c r="J28" t="str">
        <f>IFERROR(IF(VLOOKUP(A28,'1_Raw_Data'!$A:$J,10,FALSE)="","",VLOOKUP(A28,'1_Raw_Data'!$A:$J,10,FALSE)),"")</f>
        <v/>
      </c>
      <c r="K28" t="str">
        <f t="shared" si="0"/>
        <v>Clean</v>
      </c>
      <c r="L28">
        <f>IF(G28="GBP",1,VLOOKUP(H28,FX_Rates!$A:$B,2,0))</f>
        <v>1</v>
      </c>
    </row>
    <row r="29" spans="1:12">
      <c r="A29">
        <f>IFERROR(INDEX('1_Raw_Data'!$A:$A,MATCH(ROW()-1,'1_Raw_Data'!$M:$M,0)),"")</f>
        <v>28</v>
      </c>
      <c r="B29" t="str">
        <f>IFERROR(VLOOKUP(LOWER(VLOOKUP(A29,'1_Raw_Data'!$A:$J,2,0)),LookupSheet!$A:$B,2,0),"MISSING")</f>
        <v>Spain</v>
      </c>
      <c r="C29" t="str">
        <f>VLOOKUP(A29,'1_Raw_Data'!$A:$J,3,0)</f>
        <v>Dentsu</v>
      </c>
      <c r="D29" t="str">
        <f>VLOOKUP(A29,'1_Raw_Data'!$A:$J,4,0)</f>
        <v>Q1 Brand Awareness</v>
      </c>
      <c r="E29" s="22">
        <f>'1_Raw_Data'!E29*L29</f>
        <v>53645.86</v>
      </c>
      <c r="F29" s="22">
        <f>IF('1_Raw_Data'!F29="","MISSING",'1_Raw_Data'!F29*L29)</f>
        <v>57920.34</v>
      </c>
      <c r="G29" t="str">
        <f>UPPER(SUBSTITUTE(SUBSTITUTE(VLOOKUP(A29,'1_Raw_Data'!$A:$J,7,0),"€","EUR"),"£","GBP"))</f>
        <v>GBP</v>
      </c>
      <c r="H29" t="str">
        <f>IFERROR(VLOOKUP(LOWER(VLOOKUP(A29,'1_Raw_Data'!$A:$J,8,0)),LookupSheet!$C:$D,2,0),IFERROR(VLOOKUP(LOWER(TEXT(VLOOKUP(A29,'1_Raw_Data'!$A:$J,8,0),"mmm-yy")),LookupSheet!$C:$D,2,0),VLOOKUP(A29,'1_Raw_Data'!$A:$J,8,0)))</f>
        <v>Jan-2024</v>
      </c>
      <c r="I29" t="str">
        <f>IFERROR(VLOOKUP(LOWER(VLOOKUP(A29,'1_Raw_Data'!$A:$J,9,0)),LookupSheet!$E:$F,2,0),VLOOKUP(A29,'1_Raw_Data'!$A:$J,9,0))</f>
        <v>Paid</v>
      </c>
      <c r="J29" t="str">
        <f>IFERROR(IF(VLOOKUP(A29,'1_Raw_Data'!$A:$J,10,FALSE)="","",VLOOKUP(A29,'1_Raw_Data'!$A:$J,10,FALSE)),"")</f>
        <v>Re-sent</v>
      </c>
      <c r="K29" t="str">
        <f t="shared" si="0"/>
        <v>Clean</v>
      </c>
      <c r="L29">
        <f>IF(G29="GBP",1,VLOOKUP(H29,FX_Rates!$A:$B,2,0))</f>
        <v>1</v>
      </c>
    </row>
    <row r="30" spans="1:12">
      <c r="A30">
        <f>IFERROR(INDEX('1_Raw_Data'!$A:$A,MATCH(ROW()-1,'1_Raw_Data'!$M:$M,0)),"")</f>
        <v>29</v>
      </c>
      <c r="B30" t="str">
        <f>IFERROR(VLOOKUP(LOWER(VLOOKUP(A30,'1_Raw_Data'!$A:$J,2,0)),LookupSheet!$A:$B,2,0),"MISSING")</f>
        <v>Netherlands</v>
      </c>
      <c r="C30" t="str">
        <f>VLOOKUP(A30,'1_Raw_Data'!$A:$J,3,0)</f>
        <v>Mindshare</v>
      </c>
      <c r="D30" t="str">
        <f>VLOOKUP(A30,'1_Raw_Data'!$A:$J,4,0)</f>
        <v>Content Promo Jan</v>
      </c>
      <c r="E30" s="22">
        <f>'1_Raw_Data'!E30*L30</f>
        <v>61373.271182999997</v>
      </c>
      <c r="F30" s="22">
        <f>IF('1_Raw_Data'!F30="","MISSING",'1_Raw_Data'!F30*L30)</f>
        <v>59676.813152999996</v>
      </c>
      <c r="G30" t="str">
        <f>UPPER(SUBSTITUTE(SUBSTITUTE(VLOOKUP(A30,'1_Raw_Data'!$A:$J,7,0),"€","EUR"),"£","GBP"))</f>
        <v>EUR</v>
      </c>
      <c r="H30" t="str">
        <f>IFERROR(VLOOKUP(LOWER(VLOOKUP(A30,'1_Raw_Data'!$A:$J,8,0)),LookupSheet!$C:$D,2,0),IFERROR(VLOOKUP(LOWER(TEXT(VLOOKUP(A30,'1_Raw_Data'!$A:$J,8,0),"mmm-yy")),LookupSheet!$C:$D,2,0),VLOOKUP(A30,'1_Raw_Data'!$A:$J,8,0)))</f>
        <v>Jan-2024</v>
      </c>
      <c r="I30" t="str">
        <f>IFERROR(VLOOKUP(LOWER(VLOOKUP(A30,'1_Raw_Data'!$A:$J,9,0)),LookupSheet!$E:$F,2,0),VLOOKUP(A30,'1_Raw_Data'!$A:$J,9,0))</f>
        <v>Pending</v>
      </c>
      <c r="J30" t="str">
        <f>IFERROR(IF(VLOOKUP(A30,'1_Raw_Data'!$A:$J,10,FALSE)="","",VLOOKUP(A30,'1_Raw_Data'!$A:$J,10,FALSE)),"")</f>
        <v>Amended</v>
      </c>
      <c r="K30" t="str">
        <f t="shared" si="0"/>
        <v>Clean</v>
      </c>
      <c r="L30">
        <f>IF(G30="GBP",1,VLOOKUP(H30,FX_Rates!$A:$B,2,0))</f>
        <v>0.85709999999999997</v>
      </c>
    </row>
    <row r="31" spans="1:12">
      <c r="A31">
        <f>IFERROR(INDEX('1_Raw_Data'!$A:$A,MATCH(ROW()-1,'1_Raw_Data'!$M:$M,0)),"")</f>
        <v>30</v>
      </c>
      <c r="B31" t="str">
        <f>IFERROR(VLOOKUP(LOWER(VLOOKUP(A31,'1_Raw_Data'!$A:$J,2,0)),LookupSheet!$A:$B,2,0),"MISSING")</f>
        <v>France</v>
      </c>
      <c r="C31" t="str">
        <f>VLOOKUP(A31,'1_Raw_Data'!$A:$J,3,0)</f>
        <v>MediaCom</v>
      </c>
      <c r="D31" t="str">
        <f>VLOOKUP(A31,'1_Raw_Data'!$A:$J,4,0)</f>
        <v>Q2 Retargeting Sweep</v>
      </c>
      <c r="E31" s="22">
        <f>'1_Raw_Data'!E31*L31</f>
        <v>9848.0632949999999</v>
      </c>
      <c r="F31" s="22">
        <f>IF('1_Raw_Data'!F31="","MISSING",'1_Raw_Data'!F31*L31)</f>
        <v>9647.1026119999988</v>
      </c>
      <c r="G31" t="str">
        <f>UPPER(SUBSTITUTE(SUBSTITUTE(VLOOKUP(A31,'1_Raw_Data'!$A:$J,7,0),"€","EUR"),"£","GBP"))</f>
        <v>EUR</v>
      </c>
      <c r="H31" t="str">
        <f>IFERROR(VLOOKUP(LOWER(VLOOKUP(A31,'1_Raw_Data'!$A:$J,8,0)),LookupSheet!$C:$D,2,0),IFERROR(VLOOKUP(LOWER(TEXT(VLOOKUP(A31,'1_Raw_Data'!$A:$J,8,0),"mmm-yy")),LookupSheet!$C:$D,2,0),VLOOKUP(A31,'1_Raw_Data'!$A:$J,8,0)))</f>
        <v>May-2024</v>
      </c>
      <c r="I31" t="str">
        <f>IFERROR(VLOOKUP(LOWER(VLOOKUP(A31,'1_Raw_Data'!$A:$J,9,0)),LookupSheet!$E:$F,2,0),VLOOKUP(A31,'1_Raw_Data'!$A:$J,9,0))</f>
        <v>Paid</v>
      </c>
      <c r="J31" t="str">
        <f>IFERROR(IF(VLOOKUP(A31,'1_Raw_Data'!$A:$J,10,FALSE)="","",VLOOKUP(A31,'1_Raw_Data'!$A:$J,10,FALSE)),"")</f>
        <v>Manual entry</v>
      </c>
      <c r="K31" t="str">
        <f t="shared" si="0"/>
        <v>Clean</v>
      </c>
      <c r="L31">
        <f>IF(G31="GBP",1,VLOOKUP(H31,FX_Rates!$A:$B,2,0))</f>
        <v>0.85329999999999995</v>
      </c>
    </row>
    <row r="32" spans="1:12">
      <c r="A32">
        <f>IFERROR(INDEX('1_Raw_Data'!$A:$A,MATCH(ROW()-1,'1_Raw_Data'!$M:$M,0)),"")</f>
        <v>31</v>
      </c>
      <c r="B32" t="str">
        <f>IFERROR(VLOOKUP(LOWER(VLOOKUP(A32,'1_Raw_Data'!$A:$J,2,0)),LookupSheet!$A:$B,2,0),"MISSING")</f>
        <v>Netherlands</v>
      </c>
      <c r="C32" t="str">
        <f>VLOOKUP(A32,'1_Raw_Data'!$A:$J,3,0)</f>
        <v>Havas Media</v>
      </c>
      <c r="D32" t="str">
        <f>VLOOKUP(A32,'1_Raw_Data'!$A:$J,4,0)</f>
        <v>Data-Driven Creative</v>
      </c>
      <c r="E32" s="22">
        <f>'1_Raw_Data'!E32*L32</f>
        <v>61075.536276999999</v>
      </c>
      <c r="F32" s="22">
        <f>IF('1_Raw_Data'!F32="","MISSING",'1_Raw_Data'!F32*L32)</f>
        <v>61075.536276999999</v>
      </c>
      <c r="G32" t="str">
        <f>UPPER(SUBSTITUTE(SUBSTITUTE(VLOOKUP(A32,'1_Raw_Data'!$A:$J,7,0),"€","EUR"),"£","GBP"))</f>
        <v>EUR</v>
      </c>
      <c r="H32" t="str">
        <f>IFERROR(VLOOKUP(LOWER(VLOOKUP(A32,'1_Raw_Data'!$A:$J,8,0)),LookupSheet!$C:$D,2,0),IFERROR(VLOOKUP(LOWER(TEXT(VLOOKUP(A32,'1_Raw_Data'!$A:$J,8,0),"mmm-yy")),LookupSheet!$C:$D,2,0),VLOOKUP(A32,'1_Raw_Data'!$A:$J,8,0)))</f>
        <v>May-2024</v>
      </c>
      <c r="I32" t="str">
        <f>IFERROR(VLOOKUP(LOWER(VLOOKUP(A32,'1_Raw_Data'!$A:$J,9,0)),LookupSheet!$E:$F,2,0),VLOOKUP(A32,'1_Raw_Data'!$A:$J,9,0))</f>
        <v>Confirmed</v>
      </c>
      <c r="J32" t="str">
        <f>IFERROR(IF(VLOOKUP(A32,'1_Raw_Data'!$A:$J,10,FALSE)="","",VLOOKUP(A32,'1_Raw_Data'!$A:$J,10,FALSE)),"")</f>
        <v>Late invoice</v>
      </c>
      <c r="K32" t="str">
        <f t="shared" si="0"/>
        <v>Clean</v>
      </c>
      <c r="L32">
        <f>IF(G32="GBP",1,VLOOKUP(H32,FX_Rates!$A:$B,2,0))</f>
        <v>0.85329999999999995</v>
      </c>
    </row>
    <row r="33" spans="1:12">
      <c r="A33">
        <f>IFERROR(INDEX('1_Raw_Data'!$A:$A,MATCH(ROW()-1,'1_Raw_Data'!$M:$M,0)),"")</f>
        <v>32</v>
      </c>
      <c r="B33" t="str">
        <f>IFERROR(VLOOKUP(LOWER(VLOOKUP(A33,'1_Raw_Data'!$A:$J,2,0)),LookupSheet!$A:$B,2,0),"MISSING")</f>
        <v>Italy</v>
      </c>
      <c r="C33" t="str">
        <f>VLOOKUP(A33,'1_Raw_Data'!$A:$J,3,0)</f>
        <v>Havas Media</v>
      </c>
      <c r="D33" t="str">
        <f>VLOOKUP(A33,'1_Raw_Data'!$A:$J,4,0)</f>
        <v>Data-Driven Creative</v>
      </c>
      <c r="E33" s="22">
        <f>'1_Raw_Data'!E33*L33</f>
        <v>29869.298285000004</v>
      </c>
      <c r="F33" s="22">
        <f>IF('1_Raw_Data'!F33="","MISSING",'1_Raw_Data'!F33*L33)</f>
        <v>28136.662913</v>
      </c>
      <c r="G33" t="str">
        <f>UPPER(SUBSTITUTE(SUBSTITUTE(VLOOKUP(A33,'1_Raw_Data'!$A:$J,7,0),"€","EUR"),"£","GBP"))</f>
        <v>EUR</v>
      </c>
      <c r="H33" t="str">
        <f>IFERROR(VLOOKUP(LOWER(VLOOKUP(A33,'1_Raw_Data'!$A:$J,8,0)),LookupSheet!$C:$D,2,0),IFERROR(VLOOKUP(LOWER(TEXT(VLOOKUP(A33,'1_Raw_Data'!$A:$J,8,0),"mmm-yy")),LookupSheet!$C:$D,2,0),VLOOKUP(A33,'1_Raw_Data'!$A:$J,8,0)))</f>
        <v>Feb-2024</v>
      </c>
      <c r="I33" t="str">
        <f>IFERROR(VLOOKUP(LOWER(VLOOKUP(A33,'1_Raw_Data'!$A:$J,9,0)),LookupSheet!$E:$F,2,0),VLOOKUP(A33,'1_Raw_Data'!$A:$J,9,0))</f>
        <v>Confirmed</v>
      </c>
      <c r="J33" t="str">
        <f>IFERROR(IF(VLOOKUP(A33,'1_Raw_Data'!$A:$J,10,FALSE)="","",VLOOKUP(A33,'1_Raw_Data'!$A:$J,10,FALSE)),"")</f>
        <v>Original lost</v>
      </c>
      <c r="K33" t="str">
        <f t="shared" si="0"/>
        <v>Clean</v>
      </c>
      <c r="L33">
        <f>IF(G33="GBP",1,VLOOKUP(H33,FX_Rates!$A:$B,2,0))</f>
        <v>0.85370000000000001</v>
      </c>
    </row>
    <row r="34" spans="1:12">
      <c r="A34">
        <f>IFERROR(INDEX('1_Raw_Data'!$A:$A,MATCH(ROW()-1,'1_Raw_Data'!$M:$M,0)),"")</f>
        <v>33</v>
      </c>
      <c r="B34" t="str">
        <f>IFERROR(VLOOKUP(LOWER(VLOOKUP(A34,'1_Raw_Data'!$A:$J,2,0)),LookupSheet!$A:$B,2,0),"MISSING")</f>
        <v>Germany</v>
      </c>
      <c r="C34" t="str">
        <f>VLOOKUP(A34,'1_Raw_Data'!$A:$J,3,0)</f>
        <v>Mindshare</v>
      </c>
      <c r="D34" t="str">
        <f>VLOOKUP(A34,'1_Raw_Data'!$A:$J,4,0)</f>
        <v>Agency Co-op Feb</v>
      </c>
      <c r="E34" s="22">
        <f>'1_Raw_Data'!E34*L34</f>
        <v>78339.275730000008</v>
      </c>
      <c r="F34" s="22">
        <f>IF('1_Raw_Data'!F34="","MISSING",'1_Raw_Data'!F34*L34)</f>
        <v>78339.275730000008</v>
      </c>
      <c r="G34" t="str">
        <f>UPPER(SUBSTITUTE(SUBSTITUTE(VLOOKUP(A34,'1_Raw_Data'!$A:$J,7,0),"€","EUR"),"£","GBP"))</f>
        <v>EUR</v>
      </c>
      <c r="H34" t="str">
        <f>IFERROR(VLOOKUP(LOWER(VLOOKUP(A34,'1_Raw_Data'!$A:$J,8,0)),LookupSheet!$C:$D,2,0),IFERROR(VLOOKUP(LOWER(TEXT(VLOOKUP(A34,'1_Raw_Data'!$A:$J,8,0),"mmm-yy")),LookupSheet!$C:$D,2,0),VLOOKUP(A34,'1_Raw_Data'!$A:$J,8,0)))</f>
        <v>Mar-2024</v>
      </c>
      <c r="I34" t="str">
        <f>IFERROR(VLOOKUP(LOWER(VLOOKUP(A34,'1_Raw_Data'!$A:$J,9,0)),LookupSheet!$E:$F,2,0),VLOOKUP(A34,'1_Raw_Data'!$A:$J,9,0))</f>
        <v>Under Review</v>
      </c>
      <c r="J34" t="str">
        <f>IFERROR(IF(VLOOKUP(A34,'1_Raw_Data'!$A:$J,10,FALSE)="","",VLOOKUP(A34,'1_Raw_Data'!$A:$J,10,FALSE)),"")</f>
        <v>Late invoice</v>
      </c>
      <c r="K34" t="str">
        <f t="shared" ref="K34:K65" si="1">IFERROR(IF(B34="UNKNOWN",$B$1&amp;": Missing",IF(OR(F34="",F34="Invalid",F34="MISSING"),$F$1&amp;": Missing",IF(OR(E34="",E34="Invalid",E34="MISSING"),$E$1&amp;": Missing",IF(G34="",$G$1&amp;": Missing",IF(H34="",$H$1&amp;": Missing",IF(I34="",$I$1&amp;": Missing","Clean")))))),"Clean")</f>
        <v>Clean</v>
      </c>
      <c r="L34">
        <f>IF(G34="GBP",1,VLOOKUP(H34,FX_Rates!$A:$B,2,0))</f>
        <v>0.85650000000000004</v>
      </c>
    </row>
    <row r="35" spans="1:12">
      <c r="A35">
        <f>IFERROR(INDEX('1_Raw_Data'!$A:$A,MATCH(ROW()-1,'1_Raw_Data'!$M:$M,0)),"")</f>
        <v>34</v>
      </c>
      <c r="B35" t="str">
        <f>IFERROR(VLOOKUP(LOWER(VLOOKUP(A35,'1_Raw_Data'!$A:$J,2,0)),LookupSheet!$A:$B,2,0),"MISSING")</f>
        <v>France</v>
      </c>
      <c r="C35" t="str">
        <f>VLOOKUP(A35,'1_Raw_Data'!$A:$J,3,0)</f>
        <v>Hearts &amp; Science</v>
      </c>
      <c r="D35" t="str">
        <f>VLOOKUP(A35,'1_Raw_Data'!$A:$J,4,0)</f>
        <v>Influencer Collab Feb</v>
      </c>
      <c r="E35" s="22">
        <f>'1_Raw_Data'!E35*L35</f>
        <v>20232.509999999998</v>
      </c>
      <c r="F35" s="22">
        <f>IF('1_Raw_Data'!F35="","MISSING",'1_Raw_Data'!F35*L35)</f>
        <v>20232.509999999998</v>
      </c>
      <c r="G35" t="str">
        <f>UPPER(SUBSTITUTE(SUBSTITUTE(VLOOKUP(A35,'1_Raw_Data'!$A:$J,7,0),"€","EUR"),"£","GBP"))</f>
        <v>GBP</v>
      </c>
      <c r="H35" t="str">
        <f>IFERROR(VLOOKUP(LOWER(VLOOKUP(A35,'1_Raw_Data'!$A:$J,8,0)),LookupSheet!$C:$D,2,0),IFERROR(VLOOKUP(LOWER(TEXT(VLOOKUP(A35,'1_Raw_Data'!$A:$J,8,0),"mmm-yy")),LookupSheet!$C:$D,2,0),VLOOKUP(A35,'1_Raw_Data'!$A:$J,8,0)))</f>
        <v>Jan-2024</v>
      </c>
      <c r="I35" t="str">
        <f>IFERROR(VLOOKUP(LOWER(VLOOKUP(A35,'1_Raw_Data'!$A:$J,9,0)),LookupSheet!$E:$F,2,0),VLOOKUP(A35,'1_Raw_Data'!$A:$J,9,0))</f>
        <v>Disputed</v>
      </c>
      <c r="J35" t="str">
        <f>IFERROR(IF(VLOOKUP(A35,'1_Raw_Data'!$A:$J,10,FALSE)="","",VLOOKUP(A35,'1_Raw_Data'!$A:$J,10,FALSE)),"")</f>
        <v>Late invoice</v>
      </c>
      <c r="K35" t="str">
        <f t="shared" si="1"/>
        <v>Clean</v>
      </c>
      <c r="L35">
        <f>IF(G35="GBP",1,VLOOKUP(H35,FX_Rates!$A:$B,2,0))</f>
        <v>1</v>
      </c>
    </row>
    <row r="36" spans="1:12">
      <c r="A36">
        <f>IFERROR(INDEX('1_Raw_Data'!$A:$A,MATCH(ROW()-1,'1_Raw_Data'!$M:$M,0)),"")</f>
        <v>35</v>
      </c>
      <c r="B36" t="str">
        <f>IFERROR(VLOOKUP(LOWER(VLOOKUP(A36,'1_Raw_Data'!$A:$J,2,0)),LookupSheet!$A:$B,2,0),"MISSING")</f>
        <v>France</v>
      </c>
      <c r="C36" t="str">
        <f>VLOOKUP(A36,'1_Raw_Data'!$A:$J,3,0)</f>
        <v>Publicis</v>
      </c>
      <c r="D36" t="str">
        <f>VLOOKUP(A36,'1_Raw_Data'!$A:$J,4,0)</f>
        <v>Agency Co-op Feb</v>
      </c>
      <c r="E36" s="22">
        <f>'1_Raw_Data'!E36*L36</f>
        <v>67470.070000000007</v>
      </c>
      <c r="F36" s="22" t="str">
        <f>IF('1_Raw_Data'!F36="","MISSING",'1_Raw_Data'!F36*L36)</f>
        <v>MISSING</v>
      </c>
      <c r="G36" t="str">
        <f>UPPER(SUBSTITUTE(SUBSTITUTE(VLOOKUP(A36,'1_Raw_Data'!$A:$J,7,0),"€","EUR"),"£","GBP"))</f>
        <v>GBP</v>
      </c>
      <c r="H36" t="str">
        <f>IFERROR(VLOOKUP(LOWER(VLOOKUP(A36,'1_Raw_Data'!$A:$J,8,0)),LookupSheet!$C:$D,2,0),IFERROR(VLOOKUP(LOWER(TEXT(VLOOKUP(A36,'1_Raw_Data'!$A:$J,8,0),"mmm-yy")),LookupSheet!$C:$D,2,0),VLOOKUP(A36,'1_Raw_Data'!$A:$J,8,0)))</f>
        <v>Feb-2024</v>
      </c>
      <c r="I36" t="str">
        <f>IFERROR(VLOOKUP(LOWER(VLOOKUP(A36,'1_Raw_Data'!$A:$J,9,0)),LookupSheet!$E:$F,2,0),VLOOKUP(A36,'1_Raw_Data'!$A:$J,9,0))</f>
        <v>Pending</v>
      </c>
      <c r="J36" t="str">
        <f>IFERROR(IF(VLOOKUP(A36,'1_Raw_Data'!$A:$J,10,FALSE)="","",VLOOKUP(A36,'1_Raw_Data'!$A:$J,10,FALSE)),"")</f>
        <v>Late invoice</v>
      </c>
      <c r="K36" t="str">
        <f t="shared" si="1"/>
        <v>Invoice_Amount_GBP: Missing</v>
      </c>
      <c r="L36">
        <f>IF(G36="GBP",1,VLOOKUP(H36,FX_Rates!$A:$B,2,0))</f>
        <v>1</v>
      </c>
    </row>
    <row r="37" spans="1:12">
      <c r="A37">
        <f>IFERROR(INDEX('1_Raw_Data'!$A:$A,MATCH(ROW()-1,'1_Raw_Data'!$M:$M,0)),"")</f>
        <v>36</v>
      </c>
      <c r="B37" t="str">
        <f>IFERROR(VLOOKUP(LOWER(VLOOKUP(A37,'1_Raw_Data'!$A:$J,2,0)),LookupSheet!$A:$B,2,0),"MISSING")</f>
        <v>Sweden</v>
      </c>
      <c r="C37" t="str">
        <f>VLOOKUP(A37,'1_Raw_Data'!$A:$J,3,0)</f>
        <v>Dentsu</v>
      </c>
      <c r="D37" t="str">
        <f>VLOOKUP(A37,'1_Raw_Data'!$A:$J,4,0)</f>
        <v>Performance Max Q1</v>
      </c>
      <c r="E37" s="22">
        <f>'1_Raw_Data'!E37*L37</f>
        <v>18274.3</v>
      </c>
      <c r="F37" s="22">
        <f>IF('1_Raw_Data'!F37="","MISSING",'1_Raw_Data'!F37*L37)</f>
        <v>18274.3</v>
      </c>
      <c r="G37" t="str">
        <f>UPPER(SUBSTITUTE(SUBSTITUTE(VLOOKUP(A37,'1_Raw_Data'!$A:$J,7,0),"€","EUR"),"£","GBP"))</f>
        <v>GBP</v>
      </c>
      <c r="H37" t="str">
        <f>IFERROR(VLOOKUP(LOWER(VLOOKUP(A37,'1_Raw_Data'!$A:$J,8,0)),LookupSheet!$C:$D,2,0),IFERROR(VLOOKUP(LOWER(TEXT(VLOOKUP(A37,'1_Raw_Data'!$A:$J,8,0),"mmm-yy")),LookupSheet!$C:$D,2,0),VLOOKUP(A37,'1_Raw_Data'!$A:$J,8,0)))</f>
        <v>Jun-2024</v>
      </c>
      <c r="I37" t="str">
        <f>IFERROR(VLOOKUP(LOWER(VLOOKUP(A37,'1_Raw_Data'!$A:$J,9,0)),LookupSheet!$E:$F,2,0),VLOOKUP(A37,'1_Raw_Data'!$A:$J,9,0))</f>
        <v>Pending</v>
      </c>
      <c r="J37" t="str">
        <f>IFERROR(IF(VLOOKUP(A37,'1_Raw_Data'!$A:$J,10,FALSE)="","",VLOOKUP(A37,'1_Raw_Data'!$A:$J,10,FALSE)),"")</f>
        <v/>
      </c>
      <c r="K37" t="str">
        <f t="shared" si="1"/>
        <v>Clean</v>
      </c>
      <c r="L37">
        <f>IF(G37="GBP",1,VLOOKUP(H37,FX_Rates!$A:$B,2,0))</f>
        <v>1</v>
      </c>
    </row>
    <row r="38" spans="1:12">
      <c r="A38">
        <f>IFERROR(INDEX('1_Raw_Data'!$A:$A,MATCH(ROW()-1,'1_Raw_Data'!$M:$M,0)),"")</f>
        <v>37</v>
      </c>
      <c r="B38" t="str">
        <f>IFERROR(VLOOKUP(LOWER(VLOOKUP(A38,'1_Raw_Data'!$A:$J,2,0)),LookupSheet!$A:$B,2,0),"MISSING")</f>
        <v>UK</v>
      </c>
      <c r="C38" t="str">
        <f>VLOOKUP(A38,'1_Raw_Data'!$A:$J,3,0)</f>
        <v>IPG Mediabrands</v>
      </c>
      <c r="D38" t="str">
        <f>VLOOKUP(A38,'1_Raw_Data'!$A:$J,4,0)</f>
        <v>Influencer Collab Feb</v>
      </c>
      <c r="E38" s="22">
        <f>'1_Raw_Data'!E38*L38</f>
        <v>38055.348495000006</v>
      </c>
      <c r="F38" s="22">
        <f>IF('1_Raw_Data'!F38="","MISSING",'1_Raw_Data'!F38*L38)</f>
        <v>37282.973924999998</v>
      </c>
      <c r="G38" t="str">
        <f>UPPER(SUBSTITUTE(SUBSTITUTE(VLOOKUP(A38,'1_Raw_Data'!$A:$J,7,0),"€","EUR"),"£","GBP"))</f>
        <v>EUR</v>
      </c>
      <c r="H38" t="str">
        <f>IFERROR(VLOOKUP(LOWER(VLOOKUP(A38,'1_Raw_Data'!$A:$J,8,0)),LookupSheet!$C:$D,2,0),IFERROR(VLOOKUP(LOWER(TEXT(VLOOKUP(A38,'1_Raw_Data'!$A:$J,8,0),"mmm-yy")),LookupSheet!$C:$D,2,0),VLOOKUP(A38,'1_Raw_Data'!$A:$J,8,0)))</f>
        <v>Mar-2024</v>
      </c>
      <c r="I38" t="str">
        <f>IFERROR(VLOOKUP(LOWER(VLOOKUP(A38,'1_Raw_Data'!$A:$J,9,0)),LookupSheet!$E:$F,2,0),VLOOKUP(A38,'1_Raw_Data'!$A:$J,9,0))</f>
        <v>Confirmed</v>
      </c>
      <c r="J38" t="str">
        <f>IFERROR(IF(VLOOKUP(A38,'1_Raw_Data'!$A:$J,10,FALSE)="","",VLOOKUP(A38,'1_Raw_Data'!$A:$J,10,FALSE)),"")</f>
        <v>Re-sent</v>
      </c>
      <c r="K38" t="str">
        <f t="shared" si="1"/>
        <v>Clean</v>
      </c>
      <c r="L38">
        <f>IF(G38="GBP",1,VLOOKUP(H38,FX_Rates!$A:$B,2,0))</f>
        <v>0.85650000000000004</v>
      </c>
    </row>
    <row r="39" spans="1:12">
      <c r="A39">
        <f>IFERROR(INDEX('1_Raw_Data'!$A:$A,MATCH(ROW()-1,'1_Raw_Data'!$M:$M,0)),"")</f>
        <v>38</v>
      </c>
      <c r="B39" t="str">
        <f>IFERROR(VLOOKUP(LOWER(VLOOKUP(A39,'1_Raw_Data'!$A:$J,2,0)),LookupSheet!$A:$B,2,0),"MISSING")</f>
        <v>Netherlands</v>
      </c>
      <c r="C39" t="str">
        <f>VLOOKUP(A39,'1_Raw_Data'!$A:$J,3,0)</f>
        <v>IPG Mediabrands</v>
      </c>
      <c r="D39" t="str">
        <f>VLOOKUP(A39,'1_Raw_Data'!$A:$J,4,0)</f>
        <v>EMEA Upfront Deal</v>
      </c>
      <c r="E39" s="22">
        <f>'1_Raw_Data'!E39*L39</f>
        <v>31074.58612</v>
      </c>
      <c r="F39" s="22">
        <f>IF('1_Raw_Data'!F39="","MISSING",'1_Raw_Data'!F39*L39)</f>
        <v>31074.58612</v>
      </c>
      <c r="G39" t="str">
        <f>UPPER(SUBSTITUTE(SUBSTITUTE(VLOOKUP(A39,'1_Raw_Data'!$A:$J,7,0),"€","EUR"),"£","GBP"))</f>
        <v>EUR</v>
      </c>
      <c r="H39" t="str">
        <f>IFERROR(VLOOKUP(LOWER(VLOOKUP(A39,'1_Raw_Data'!$A:$J,8,0)),LookupSheet!$C:$D,2,0),IFERROR(VLOOKUP(LOWER(TEXT(VLOOKUP(A39,'1_Raw_Data'!$A:$J,8,0),"mmm-yy")),LookupSheet!$C:$D,2,0),VLOOKUP(A39,'1_Raw_Data'!$A:$J,8,0)))</f>
        <v>Jun-2024</v>
      </c>
      <c r="I39" t="str">
        <f>IFERROR(VLOOKUP(LOWER(VLOOKUP(A39,'1_Raw_Data'!$A:$J,9,0)),LookupSheet!$E:$F,2,0),VLOOKUP(A39,'1_Raw_Data'!$A:$J,9,0))</f>
        <v>Confirmed</v>
      </c>
      <c r="J39" t="str">
        <f>IFERROR(IF(VLOOKUP(A39,'1_Raw_Data'!$A:$J,10,FALSE)="","",VLOOKUP(A39,'1_Raw_Data'!$A:$J,10,FALSE)),"")</f>
        <v>Check with agency</v>
      </c>
      <c r="K39" t="str">
        <f t="shared" si="1"/>
        <v>Clean</v>
      </c>
      <c r="L39">
        <f>IF(G39="GBP",1,VLOOKUP(H39,FX_Rates!$A:$B,2,0))</f>
        <v>0.84399999999999997</v>
      </c>
    </row>
    <row r="40" spans="1:12">
      <c r="A40">
        <f>IFERROR(INDEX('1_Raw_Data'!$A:$A,MATCH(ROW()-1,'1_Raw_Data'!$M:$M,0)),"")</f>
        <v>39</v>
      </c>
      <c r="B40" t="str">
        <f>IFERROR(VLOOKUP(LOWER(VLOOKUP(A40,'1_Raw_Data'!$A:$J,2,0)),LookupSheet!$A:$B,2,0),"MISSING")</f>
        <v>Sweden</v>
      </c>
      <c r="C40" t="str">
        <f>VLOOKUP(A40,'1_Raw_Data'!$A:$J,3,0)</f>
        <v>Mindshare</v>
      </c>
      <c r="D40" t="str">
        <f>VLOOKUP(A40,'1_Raw_Data'!$A:$J,4,0)</f>
        <v>Content Promo Jan</v>
      </c>
      <c r="E40" s="22">
        <f>'1_Raw_Data'!E40*L40</f>
        <v>6112.02</v>
      </c>
      <c r="F40" s="22">
        <f>IF('1_Raw_Data'!F40="","MISSING",'1_Raw_Data'!F40*L40)</f>
        <v>6112.02</v>
      </c>
      <c r="G40" t="str">
        <f>UPPER(SUBSTITUTE(SUBSTITUTE(VLOOKUP(A40,'1_Raw_Data'!$A:$J,7,0),"€","EUR"),"£","GBP"))</f>
        <v>GBP</v>
      </c>
      <c r="H40" t="str">
        <f>IFERROR(VLOOKUP(LOWER(VLOOKUP(A40,'1_Raw_Data'!$A:$J,8,0)),LookupSheet!$C:$D,2,0),IFERROR(VLOOKUP(LOWER(TEXT(VLOOKUP(A40,'1_Raw_Data'!$A:$J,8,0),"mmm-yy")),LookupSheet!$C:$D,2,0),VLOOKUP(A40,'1_Raw_Data'!$A:$J,8,0)))</f>
        <v>Jan-2024</v>
      </c>
      <c r="I40" t="str">
        <f>IFERROR(VLOOKUP(LOWER(VLOOKUP(A40,'1_Raw_Data'!$A:$J,9,0)),LookupSheet!$E:$F,2,0),VLOOKUP(A40,'1_Raw_Data'!$A:$J,9,0))</f>
        <v>Under Review</v>
      </c>
      <c r="J40" t="str">
        <f>IFERROR(IF(VLOOKUP(A40,'1_Raw_Data'!$A:$J,10,FALSE)="","",VLOOKUP(A40,'1_Raw_Data'!$A:$J,10,FALSE)),"")</f>
        <v/>
      </c>
      <c r="K40" t="str">
        <f t="shared" si="1"/>
        <v>Clean</v>
      </c>
      <c r="L40">
        <f>IF(G40="GBP",1,VLOOKUP(H40,FX_Rates!$A:$B,2,0))</f>
        <v>1</v>
      </c>
    </row>
    <row r="41" spans="1:12">
      <c r="A41">
        <f>IFERROR(INDEX('1_Raw_Data'!$A:$A,MATCH(ROW()-1,'1_Raw_Data'!$M:$M,0)),"")</f>
        <v>40</v>
      </c>
      <c r="B41" t="str">
        <f>IFERROR(VLOOKUP(LOWER(VLOOKUP(A41,'1_Raw_Data'!$A:$J,2,0)),LookupSheet!$A:$B,2,0),"MISSING")</f>
        <v>Germany</v>
      </c>
      <c r="C41" t="str">
        <f>VLOOKUP(A41,'1_Raw_Data'!$A:$J,3,0)</f>
        <v>WPP Media</v>
      </c>
      <c r="D41" t="str">
        <f>VLOOKUP(A41,'1_Raw_Data'!$A:$J,4,0)</f>
        <v>Regional Launch NL</v>
      </c>
      <c r="E41" s="22">
        <f>'1_Raw_Data'!E41*L41</f>
        <v>46463.023739000004</v>
      </c>
      <c r="F41" s="22">
        <f>IF('1_Raw_Data'!F41="","MISSING",'1_Raw_Data'!F41*L41)</f>
        <v>46463.023739000004</v>
      </c>
      <c r="G41" t="str">
        <f>UPPER(SUBSTITUTE(SUBSTITUTE(VLOOKUP(A41,'1_Raw_Data'!$A:$J,7,0),"€","EUR"),"£","GBP"))</f>
        <v>EUR</v>
      </c>
      <c r="H41" t="str">
        <f>IFERROR(VLOOKUP(LOWER(VLOOKUP(A41,'1_Raw_Data'!$A:$J,8,0)),LookupSheet!$C:$D,2,0),IFERROR(VLOOKUP(LOWER(TEXT(VLOOKUP(A41,'1_Raw_Data'!$A:$J,8,0),"mmm-yy")),LookupSheet!$C:$D,2,0),VLOOKUP(A41,'1_Raw_Data'!$A:$J,8,0)))</f>
        <v>Feb-2024</v>
      </c>
      <c r="I41" t="str">
        <f>IFERROR(VLOOKUP(LOWER(VLOOKUP(A41,'1_Raw_Data'!$A:$J,9,0)),LookupSheet!$E:$F,2,0),VLOOKUP(A41,'1_Raw_Data'!$A:$J,9,0))</f>
        <v>Pending</v>
      </c>
      <c r="J41" t="str">
        <f>IFERROR(IF(VLOOKUP(A41,'1_Raw_Data'!$A:$J,10,FALSE)="","",VLOOKUP(A41,'1_Raw_Data'!$A:$J,10,FALSE)),"")</f>
        <v/>
      </c>
      <c r="K41" t="str">
        <f t="shared" si="1"/>
        <v>Clean</v>
      </c>
      <c r="L41">
        <f>IF(G41="GBP",1,VLOOKUP(H41,FX_Rates!$A:$B,2,0))</f>
        <v>0.85370000000000001</v>
      </c>
    </row>
    <row r="42" spans="1:12">
      <c r="A42">
        <f>IFERROR(INDEX('1_Raw_Data'!$A:$A,MATCH(ROW()-1,'1_Raw_Data'!$M:$M,0)),"")</f>
        <v>41</v>
      </c>
      <c r="B42" t="str">
        <f>IFERROR(VLOOKUP(LOWER(VLOOKUP(A42,'1_Raw_Data'!$A:$J,2,0)),LookupSheet!$A:$B,2,0),"MISSING")</f>
        <v>France</v>
      </c>
      <c r="C42" t="str">
        <f>VLOOKUP(A42,'1_Raw_Data'!$A:$J,3,0)</f>
        <v>IPG Mediabrands</v>
      </c>
      <c r="D42" t="str">
        <f>VLOOKUP(A42,'1_Raw_Data'!$A:$J,4,0)</f>
        <v>Q1 Brand Awareness</v>
      </c>
      <c r="E42" s="22">
        <f>'1_Raw_Data'!E42*L42</f>
        <v>94713.37</v>
      </c>
      <c r="F42" s="22">
        <f>IF('1_Raw_Data'!F42="","MISSING",'1_Raw_Data'!F42*L42)</f>
        <v>98354.76</v>
      </c>
      <c r="G42" t="str">
        <f>UPPER(SUBSTITUTE(SUBSTITUTE(VLOOKUP(A42,'1_Raw_Data'!$A:$J,7,0),"€","EUR"),"£","GBP"))</f>
        <v>GBP</v>
      </c>
      <c r="H42" t="str">
        <f>IFERROR(VLOOKUP(LOWER(VLOOKUP(A42,'1_Raw_Data'!$A:$J,8,0)),LookupSheet!$C:$D,2,0),IFERROR(VLOOKUP(LOWER(TEXT(VLOOKUP(A42,'1_Raw_Data'!$A:$J,8,0),"mmm-yy")),LookupSheet!$C:$D,2,0),VLOOKUP(A42,'1_Raw_Data'!$A:$J,8,0)))</f>
        <v>Mar-2024</v>
      </c>
      <c r="I42" t="str">
        <f>IFERROR(VLOOKUP(LOWER(VLOOKUP(A42,'1_Raw_Data'!$A:$J,9,0)),LookupSheet!$E:$F,2,0),VLOOKUP(A42,'1_Raw_Data'!$A:$J,9,0))</f>
        <v>Pending</v>
      </c>
      <c r="J42" t="str">
        <f>IFERROR(IF(VLOOKUP(A42,'1_Raw_Data'!$A:$J,10,FALSE)="","",VLOOKUP(A42,'1_Raw_Data'!$A:$J,10,FALSE)),"")</f>
        <v/>
      </c>
      <c r="K42" t="str">
        <f t="shared" si="1"/>
        <v>Clean</v>
      </c>
      <c r="L42">
        <f>IF(G42="GBP",1,VLOOKUP(H42,FX_Rates!$A:$B,2,0))</f>
        <v>1</v>
      </c>
    </row>
    <row r="43" spans="1:12">
      <c r="A43">
        <f>IFERROR(INDEX('1_Raw_Data'!$A:$A,MATCH(ROW()-1,'1_Raw_Data'!$M:$M,0)),"")</f>
        <v>42</v>
      </c>
      <c r="B43" t="str">
        <f>IFERROR(VLOOKUP(LOWER(VLOOKUP(A43,'1_Raw_Data'!$A:$J,2,0)),LookupSheet!$A:$B,2,0),"MISSING")</f>
        <v>France</v>
      </c>
      <c r="C43" t="str">
        <f>VLOOKUP(A43,'1_Raw_Data'!$A:$J,3,0)</f>
        <v>IPG Mediabrands</v>
      </c>
      <c r="D43" t="str">
        <f>VLOOKUP(A43,'1_Raw_Data'!$A:$J,4,0)</f>
        <v>Influencer Collab Feb</v>
      </c>
      <c r="E43" s="22">
        <f>'1_Raw_Data'!E43*L43</f>
        <v>21867.075384</v>
      </c>
      <c r="F43" s="22">
        <f>IF('1_Raw_Data'!F43="","MISSING",'1_Raw_Data'!F43*L43)</f>
        <v>23283.340058999998</v>
      </c>
      <c r="G43" t="str">
        <f>UPPER(SUBSTITUTE(SUBSTITUTE(VLOOKUP(A43,'1_Raw_Data'!$A:$J,7,0),"€","EUR"),"£","GBP"))</f>
        <v>EUR</v>
      </c>
      <c r="H43" t="str">
        <f>IFERROR(VLOOKUP(LOWER(VLOOKUP(A43,'1_Raw_Data'!$A:$J,8,0)),LookupSheet!$C:$D,2,0),IFERROR(VLOOKUP(LOWER(TEXT(VLOOKUP(A43,'1_Raw_Data'!$A:$J,8,0),"mmm-yy")),LookupSheet!$C:$D,2,0),VLOOKUP(A43,'1_Raw_Data'!$A:$J,8,0)))</f>
        <v>May-2024</v>
      </c>
      <c r="I43" t="str">
        <f>IFERROR(VLOOKUP(LOWER(VLOOKUP(A43,'1_Raw_Data'!$A:$J,9,0)),LookupSheet!$E:$F,2,0),VLOOKUP(A43,'1_Raw_Data'!$A:$J,9,0))</f>
        <v>Under Review</v>
      </c>
      <c r="J43" t="str">
        <f>IFERROR(IF(VLOOKUP(A43,'1_Raw_Data'!$A:$J,10,FALSE)="","",VLOOKUP(A43,'1_Raw_Data'!$A:$J,10,FALSE)),"")</f>
        <v>Late invoice</v>
      </c>
      <c r="K43" t="str">
        <f t="shared" si="1"/>
        <v>Clean</v>
      </c>
      <c r="L43">
        <f>IF(G43="GBP",1,VLOOKUP(H43,FX_Rates!$A:$B,2,0))</f>
        <v>0.85329999999999995</v>
      </c>
    </row>
    <row r="44" spans="1:12">
      <c r="A44">
        <f>IFERROR(INDEX('1_Raw_Data'!$A:$A,MATCH(ROW()-1,'1_Raw_Data'!$M:$M,0)),"")</f>
        <v>43</v>
      </c>
      <c r="B44" t="str">
        <f>IFERROR(VLOOKUP(LOWER(VLOOKUP(A44,'1_Raw_Data'!$A:$J,2,0)),LookupSheet!$A:$B,2,0),"MISSING")</f>
        <v>Germany</v>
      </c>
      <c r="C44" t="str">
        <f>VLOOKUP(A44,'1_Raw_Data'!$A:$J,3,0)</f>
        <v>Dentsu</v>
      </c>
      <c r="D44" t="str">
        <f>VLOOKUP(A44,'1_Raw_Data'!$A:$J,4,0)</f>
        <v>Q1 Brand Awareness</v>
      </c>
      <c r="E44" s="22">
        <f>'1_Raw_Data'!E44*L44</f>
        <v>8102.4491429999998</v>
      </c>
      <c r="F44" s="22">
        <f>IF('1_Raw_Data'!F44="","MISSING",'1_Raw_Data'!F44*L44)</f>
        <v>8102.4491429999998</v>
      </c>
      <c r="G44" t="str">
        <f>UPPER(SUBSTITUTE(SUBSTITUTE(VLOOKUP(A44,'1_Raw_Data'!$A:$J,7,0),"€","EUR"),"£","GBP"))</f>
        <v>EUR</v>
      </c>
      <c r="H44" t="str">
        <f>IFERROR(VLOOKUP(LOWER(VLOOKUP(A44,'1_Raw_Data'!$A:$J,8,0)),LookupSheet!$C:$D,2,0),IFERROR(VLOOKUP(LOWER(TEXT(VLOOKUP(A44,'1_Raw_Data'!$A:$J,8,0),"mmm-yy")),LookupSheet!$C:$D,2,0),VLOOKUP(A44,'1_Raw_Data'!$A:$J,8,0)))</f>
        <v>Jan-2024</v>
      </c>
      <c r="I44" t="str">
        <f>IFERROR(VLOOKUP(LOWER(VLOOKUP(A44,'1_Raw_Data'!$A:$J,9,0)),LookupSheet!$E:$F,2,0),VLOOKUP(A44,'1_Raw_Data'!$A:$J,9,0))</f>
        <v>Pending</v>
      </c>
      <c r="J44" t="str">
        <f>IFERROR(IF(VLOOKUP(A44,'1_Raw_Data'!$A:$J,10,FALSE)="","",VLOOKUP(A44,'1_Raw_Data'!$A:$J,10,FALSE)),"")</f>
        <v>Check with agency</v>
      </c>
      <c r="K44" t="str">
        <f t="shared" si="1"/>
        <v>Clean</v>
      </c>
      <c r="L44">
        <f>IF(G44="GBP",1,VLOOKUP(H44,FX_Rates!$A:$B,2,0))</f>
        <v>0.85709999999999997</v>
      </c>
    </row>
    <row r="45" spans="1:12">
      <c r="A45">
        <f>IFERROR(INDEX('1_Raw_Data'!$A:$A,MATCH(ROW()-1,'1_Raw_Data'!$M:$M,0)),"")</f>
        <v>44</v>
      </c>
      <c r="B45" t="str">
        <f>IFERROR(VLOOKUP(LOWER(VLOOKUP(A45,'1_Raw_Data'!$A:$J,2,0)),LookupSheet!$A:$B,2,0),"MISSING")</f>
        <v>Sweden</v>
      </c>
      <c r="C45" t="str">
        <f>VLOOKUP(A45,'1_Raw_Data'!$A:$J,3,0)</f>
        <v>Mindshare</v>
      </c>
      <c r="D45" t="str">
        <f>VLOOKUP(A45,'1_Raw_Data'!$A:$J,4,0)</f>
        <v>Premium Tier Push</v>
      </c>
      <c r="E45" s="22">
        <f>'1_Raw_Data'!E45*L45</f>
        <v>80903.820000000007</v>
      </c>
      <c r="F45" s="22">
        <f>IF('1_Raw_Data'!F45="","MISSING",'1_Raw_Data'!F45*L45)</f>
        <v>80903.820000000007</v>
      </c>
      <c r="G45" t="str">
        <f>UPPER(SUBSTITUTE(SUBSTITUTE(VLOOKUP(A45,'1_Raw_Data'!$A:$J,7,0),"€","EUR"),"£","GBP"))</f>
        <v>GBP</v>
      </c>
      <c r="H45" t="str">
        <f>IFERROR(VLOOKUP(LOWER(VLOOKUP(A45,'1_Raw_Data'!$A:$J,8,0)),LookupSheet!$C:$D,2,0),IFERROR(VLOOKUP(LOWER(TEXT(VLOOKUP(A45,'1_Raw_Data'!$A:$J,8,0),"mmm-yy")),LookupSheet!$C:$D,2,0),VLOOKUP(A45,'1_Raw_Data'!$A:$J,8,0)))</f>
        <v>Feb-2024</v>
      </c>
      <c r="I45" t="str">
        <f>IFERROR(VLOOKUP(LOWER(VLOOKUP(A45,'1_Raw_Data'!$A:$J,9,0)),LookupSheet!$E:$F,2,0),VLOOKUP(A45,'1_Raw_Data'!$A:$J,9,0))</f>
        <v>Pending</v>
      </c>
      <c r="J45" t="str">
        <f>IFERROR(IF(VLOOKUP(A45,'1_Raw_Data'!$A:$J,10,FALSE)="","",VLOOKUP(A45,'1_Raw_Data'!$A:$J,10,FALSE)),"")</f>
        <v/>
      </c>
      <c r="K45" t="str">
        <f t="shared" si="1"/>
        <v>Clean</v>
      </c>
      <c r="L45">
        <f>IF(G45="GBP",1,VLOOKUP(H45,FX_Rates!$A:$B,2,0))</f>
        <v>1</v>
      </c>
    </row>
    <row r="46" spans="1:12">
      <c r="A46">
        <f>IFERROR(INDEX('1_Raw_Data'!$A:$A,MATCH(ROW()-1,'1_Raw_Data'!$M:$M,0)),"")</f>
        <v>45</v>
      </c>
      <c r="B46" t="str">
        <f>IFERROR(VLOOKUP(LOWER(VLOOKUP(A46,'1_Raw_Data'!$A:$J,2,0)),LookupSheet!$A:$B,2,0),"MISSING")</f>
        <v>Sweden</v>
      </c>
      <c r="C46" t="str">
        <f>VLOOKUP(A46,'1_Raw_Data'!$A:$J,3,0)</f>
        <v>Omnicom Media Group</v>
      </c>
      <c r="D46" t="str">
        <f>VLOOKUP(A46,'1_Raw_Data'!$A:$J,4,0)</f>
        <v>Q1 Brand Awareness</v>
      </c>
      <c r="E46" s="22">
        <f>'1_Raw_Data'!E46*L46</f>
        <v>83144.58</v>
      </c>
      <c r="F46" s="22">
        <f>IF('1_Raw_Data'!F46="","MISSING",'1_Raw_Data'!F46*L46)</f>
        <v>85903.360000000001</v>
      </c>
      <c r="G46" t="str">
        <f>UPPER(SUBSTITUTE(SUBSTITUTE(VLOOKUP(A46,'1_Raw_Data'!$A:$J,7,0),"€","EUR"),"£","GBP"))</f>
        <v>GBP</v>
      </c>
      <c r="H46" t="str">
        <f>IFERROR(VLOOKUP(LOWER(VLOOKUP(A46,'1_Raw_Data'!$A:$J,8,0)),LookupSheet!$C:$D,2,0),IFERROR(VLOOKUP(LOWER(TEXT(VLOOKUP(A46,'1_Raw_Data'!$A:$J,8,0),"mmm-yy")),LookupSheet!$C:$D,2,0),VLOOKUP(A46,'1_Raw_Data'!$A:$J,8,0)))</f>
        <v>May-2024</v>
      </c>
      <c r="I46" t="str">
        <f>IFERROR(VLOOKUP(LOWER(VLOOKUP(A46,'1_Raw_Data'!$A:$J,9,0)),LookupSheet!$E:$F,2,0),VLOOKUP(A46,'1_Raw_Data'!$A:$J,9,0))</f>
        <v>Paid</v>
      </c>
      <c r="J46" t="str">
        <f>IFERROR(IF(VLOOKUP(A46,'1_Raw_Data'!$A:$J,10,FALSE)="","",VLOOKUP(A46,'1_Raw_Data'!$A:$J,10,FALSE)),"")</f>
        <v>Original lost</v>
      </c>
      <c r="K46" t="str">
        <f t="shared" si="1"/>
        <v>Clean</v>
      </c>
      <c r="L46">
        <f>IF(G46="GBP",1,VLOOKUP(H46,FX_Rates!$A:$B,2,0))</f>
        <v>1</v>
      </c>
    </row>
    <row r="47" spans="1:12">
      <c r="A47">
        <f>IFERROR(INDEX('1_Raw_Data'!$A:$A,MATCH(ROW()-1,'1_Raw_Data'!$M:$M,0)),"")</f>
        <v>46</v>
      </c>
      <c r="B47" t="str">
        <f>IFERROR(VLOOKUP(LOWER(VLOOKUP(A47,'1_Raw_Data'!$A:$J,2,0)),LookupSheet!$A:$B,2,0),"MISSING")</f>
        <v>France</v>
      </c>
      <c r="C47" t="str">
        <f>VLOOKUP(A47,'1_Raw_Data'!$A:$J,3,0)</f>
        <v>IPG Mediabrands</v>
      </c>
      <c r="D47" t="str">
        <f>VLOOKUP(A47,'1_Raw_Data'!$A:$J,4,0)</f>
        <v>Data-Driven Creative</v>
      </c>
      <c r="E47" s="22">
        <f>'1_Raw_Data'!E47*L47</f>
        <v>17466.29</v>
      </c>
      <c r="F47" s="22">
        <f>IF('1_Raw_Data'!F47="","MISSING",'1_Raw_Data'!F47*L47)</f>
        <v>17466.29</v>
      </c>
      <c r="G47" t="str">
        <f>UPPER(SUBSTITUTE(SUBSTITUTE(VLOOKUP(A47,'1_Raw_Data'!$A:$J,7,0),"€","EUR"),"£","GBP"))</f>
        <v>GBP</v>
      </c>
      <c r="H47" t="str">
        <f>IFERROR(VLOOKUP(LOWER(VLOOKUP(A47,'1_Raw_Data'!$A:$J,8,0)),LookupSheet!$C:$D,2,0),IFERROR(VLOOKUP(LOWER(TEXT(VLOOKUP(A47,'1_Raw_Data'!$A:$J,8,0),"mmm-yy")),LookupSheet!$C:$D,2,0),VLOOKUP(A47,'1_Raw_Data'!$A:$J,8,0)))</f>
        <v>Jan-2024</v>
      </c>
      <c r="I47" t="str">
        <f>IFERROR(VLOOKUP(LOWER(VLOOKUP(A47,'1_Raw_Data'!$A:$J,9,0)),LookupSheet!$E:$F,2,0),VLOOKUP(A47,'1_Raw_Data'!$A:$J,9,0))</f>
        <v>Disputed</v>
      </c>
      <c r="J47" t="str">
        <f>IFERROR(IF(VLOOKUP(A47,'1_Raw_Data'!$A:$J,10,FALSE)="","",VLOOKUP(A47,'1_Raw_Data'!$A:$J,10,FALSE)),"")</f>
        <v>Original lost</v>
      </c>
      <c r="K47" t="str">
        <f t="shared" si="1"/>
        <v>Clean</v>
      </c>
      <c r="L47">
        <f>IF(G47="GBP",1,VLOOKUP(H47,FX_Rates!$A:$B,2,0))</f>
        <v>1</v>
      </c>
    </row>
    <row r="48" spans="1:12">
      <c r="A48">
        <f>IFERROR(INDEX('1_Raw_Data'!$A:$A,MATCH(ROW()-1,'1_Raw_Data'!$M:$M,0)),"")</f>
        <v>47</v>
      </c>
      <c r="B48" t="str">
        <f>IFERROR(VLOOKUP(LOWER(VLOOKUP(A48,'1_Raw_Data'!$A:$J,2,0)),LookupSheet!$A:$B,2,0),"MISSING")</f>
        <v>Germany</v>
      </c>
      <c r="C48" t="str">
        <f>VLOOKUP(A48,'1_Raw_Data'!$A:$J,3,0)</f>
        <v>Havas Media</v>
      </c>
      <c r="D48" t="str">
        <f>VLOOKUP(A48,'1_Raw_Data'!$A:$J,4,0)</f>
        <v>Premium Tier Push</v>
      </c>
      <c r="E48" s="22">
        <f>'1_Raw_Data'!E48*L48</f>
        <v>71307.63</v>
      </c>
      <c r="F48" s="22">
        <f>IF('1_Raw_Data'!F48="","MISSING",'1_Raw_Data'!F48*L48)</f>
        <v>71307.63</v>
      </c>
      <c r="G48" t="str">
        <f>UPPER(SUBSTITUTE(SUBSTITUTE(VLOOKUP(A48,'1_Raw_Data'!$A:$J,7,0),"€","EUR"),"£","GBP"))</f>
        <v>GBP</v>
      </c>
      <c r="H48" t="str">
        <f>IFERROR(VLOOKUP(LOWER(VLOOKUP(A48,'1_Raw_Data'!$A:$J,8,0)),LookupSheet!$C:$D,2,0),IFERROR(VLOOKUP(LOWER(TEXT(VLOOKUP(A48,'1_Raw_Data'!$A:$J,8,0),"mmm-yy")),LookupSheet!$C:$D,2,0),VLOOKUP(A48,'1_Raw_Data'!$A:$J,8,0)))</f>
        <v>Feb-2024</v>
      </c>
      <c r="I48" t="str">
        <f>IFERROR(VLOOKUP(LOWER(VLOOKUP(A48,'1_Raw_Data'!$A:$J,9,0)),LookupSheet!$E:$F,2,0),VLOOKUP(A48,'1_Raw_Data'!$A:$J,9,0))</f>
        <v>Pending</v>
      </c>
      <c r="J48" t="str">
        <f>IFERROR(IF(VLOOKUP(A48,'1_Raw_Data'!$A:$J,10,FALSE)="","",VLOOKUP(A48,'1_Raw_Data'!$A:$J,10,FALSE)),"")</f>
        <v>Original lost</v>
      </c>
      <c r="K48" t="str">
        <f t="shared" si="1"/>
        <v>Clean</v>
      </c>
      <c r="L48">
        <f>IF(G48="GBP",1,VLOOKUP(H48,FX_Rates!$A:$B,2,0))</f>
        <v>1</v>
      </c>
    </row>
    <row r="49" spans="1:12">
      <c r="A49">
        <f>IFERROR(INDEX('1_Raw_Data'!$A:$A,MATCH(ROW()-1,'1_Raw_Data'!$M:$M,0)),"")</f>
        <v>48</v>
      </c>
      <c r="B49" t="str">
        <f>IFERROR(VLOOKUP(LOWER(VLOOKUP(A49,'1_Raw_Data'!$A:$J,2,0)),LookupSheet!$A:$B,2,0),"MISSING")</f>
        <v>Spain</v>
      </c>
      <c r="C49" t="str">
        <f>VLOOKUP(A49,'1_Raw_Data'!$A:$J,3,0)</f>
        <v>IPG Mediabrands</v>
      </c>
      <c r="D49" t="str">
        <f>VLOOKUP(A49,'1_Raw_Data'!$A:$J,4,0)</f>
        <v>Regional Launch NL</v>
      </c>
      <c r="E49" s="22">
        <f>'1_Raw_Data'!E49*L49</f>
        <v>11174.746935000001</v>
      </c>
      <c r="F49" s="22">
        <f>IF('1_Raw_Data'!F49="","MISSING",'1_Raw_Data'!F49*L49)</f>
        <v>10539.0612</v>
      </c>
      <c r="G49" t="str">
        <f>UPPER(SUBSTITUTE(SUBSTITUTE(VLOOKUP(A49,'1_Raw_Data'!$A:$J,7,0),"€","EUR"),"£","GBP"))</f>
        <v>EUR</v>
      </c>
      <c r="H49" t="str">
        <f>IFERROR(VLOOKUP(LOWER(VLOOKUP(A49,'1_Raw_Data'!$A:$J,8,0)),LookupSheet!$C:$D,2,0),IFERROR(VLOOKUP(LOWER(TEXT(VLOOKUP(A49,'1_Raw_Data'!$A:$J,8,0),"mmm-yy")),LookupSheet!$C:$D,2,0),VLOOKUP(A49,'1_Raw_Data'!$A:$J,8,0)))</f>
        <v>Mar-2024</v>
      </c>
      <c r="I49" t="str">
        <f>IFERROR(VLOOKUP(LOWER(VLOOKUP(A49,'1_Raw_Data'!$A:$J,9,0)),LookupSheet!$E:$F,2,0),VLOOKUP(A49,'1_Raw_Data'!$A:$J,9,0))</f>
        <v>Under Review</v>
      </c>
      <c r="J49" t="str">
        <f>IFERROR(IF(VLOOKUP(A49,'1_Raw_Data'!$A:$J,10,FALSE)="","",VLOOKUP(A49,'1_Raw_Data'!$A:$J,10,FALSE)),"")</f>
        <v>Amended</v>
      </c>
      <c r="K49" t="str">
        <f t="shared" si="1"/>
        <v>Clean</v>
      </c>
      <c r="L49">
        <f>IF(G49="GBP",1,VLOOKUP(H49,FX_Rates!$A:$B,2,0))</f>
        <v>0.85650000000000004</v>
      </c>
    </row>
    <row r="50" spans="1:12">
      <c r="A50">
        <f>IFERROR(INDEX('1_Raw_Data'!$A:$A,MATCH(ROW()-1,'1_Raw_Data'!$M:$M,0)),"")</f>
        <v>49</v>
      </c>
      <c r="B50" t="str">
        <f>IFERROR(VLOOKUP(LOWER(VLOOKUP(A50,'1_Raw_Data'!$A:$J,2,0)),LookupSheet!$A:$B,2,0),"MISSING")</f>
        <v>France</v>
      </c>
      <c r="C50" t="str">
        <f>VLOOKUP(A50,'1_Raw_Data'!$A:$J,3,0)</f>
        <v>MediaCom</v>
      </c>
      <c r="D50" t="str">
        <f>VLOOKUP(A50,'1_Raw_Data'!$A:$J,4,0)</f>
        <v>Always-On Display</v>
      </c>
      <c r="E50" s="22">
        <f>'1_Raw_Data'!E50*L50</f>
        <v>43917.928260000001</v>
      </c>
      <c r="F50" s="22">
        <f>IF('1_Raw_Data'!F50="","MISSING",'1_Raw_Data'!F50*L50)</f>
        <v>43917.928260000001</v>
      </c>
      <c r="G50" t="str">
        <f>UPPER(SUBSTITUTE(SUBSTITUTE(VLOOKUP(A50,'1_Raw_Data'!$A:$J,7,0),"€","EUR"),"£","GBP"))</f>
        <v>EUR</v>
      </c>
      <c r="H50" t="str">
        <f>IFERROR(VLOOKUP(LOWER(VLOOKUP(A50,'1_Raw_Data'!$A:$J,8,0)),LookupSheet!$C:$D,2,0),IFERROR(VLOOKUP(LOWER(TEXT(VLOOKUP(A50,'1_Raw_Data'!$A:$J,8,0),"mmm-yy")),LookupSheet!$C:$D,2,0),VLOOKUP(A50,'1_Raw_Data'!$A:$J,8,0)))</f>
        <v>Mar-2024</v>
      </c>
      <c r="I50" t="str">
        <f>IFERROR(VLOOKUP(LOWER(VLOOKUP(A50,'1_Raw_Data'!$A:$J,9,0)),LookupSheet!$E:$F,2,0),VLOOKUP(A50,'1_Raw_Data'!$A:$J,9,0))</f>
        <v>Under Review</v>
      </c>
      <c r="J50" t="str">
        <f>IFERROR(IF(VLOOKUP(A50,'1_Raw_Data'!$A:$J,10,FALSE)="","",VLOOKUP(A50,'1_Raw_Data'!$A:$J,10,FALSE)),"")</f>
        <v>Manual entry</v>
      </c>
      <c r="K50" t="str">
        <f t="shared" si="1"/>
        <v>Clean</v>
      </c>
      <c r="L50">
        <f>IF(G50="GBP",1,VLOOKUP(H50,FX_Rates!$A:$B,2,0))</f>
        <v>0.85650000000000004</v>
      </c>
    </row>
    <row r="51" spans="1:12">
      <c r="A51">
        <f>IFERROR(INDEX('1_Raw_Data'!$A:$A,MATCH(ROW()-1,'1_Raw_Data'!$M:$M,0)),"")</f>
        <v>50</v>
      </c>
      <c r="B51" t="str">
        <f>IFERROR(VLOOKUP(LOWER(VLOOKUP(A51,'1_Raw_Data'!$A:$J,2,0)),LookupSheet!$A:$B,2,0),"MISSING")</f>
        <v>Sweden</v>
      </c>
      <c r="C51" t="str">
        <f>VLOOKUP(A51,'1_Raw_Data'!$A:$J,3,0)</f>
        <v>Havas Media</v>
      </c>
      <c r="D51" t="str">
        <f>VLOOKUP(A51,'1_Raw_Data'!$A:$J,4,0)</f>
        <v>Winter Churn Prevention</v>
      </c>
      <c r="E51" s="22">
        <f>'1_Raw_Data'!E51*L51</f>
        <v>33949.079603999999</v>
      </c>
      <c r="F51" s="22">
        <f>IF('1_Raw_Data'!F51="","MISSING",'1_Raw_Data'!F51*L51)</f>
        <v>31234.121072999998</v>
      </c>
      <c r="G51" t="str">
        <f>UPPER(SUBSTITUTE(SUBSTITUTE(VLOOKUP(A51,'1_Raw_Data'!$A:$J,7,0),"€","EUR"),"£","GBP"))</f>
        <v>EUR</v>
      </c>
      <c r="H51" t="str">
        <f>IFERROR(VLOOKUP(LOWER(VLOOKUP(A51,'1_Raw_Data'!$A:$J,8,0)),LookupSheet!$C:$D,2,0),IFERROR(VLOOKUP(LOWER(TEXT(VLOOKUP(A51,'1_Raw_Data'!$A:$J,8,0),"mmm-yy")),LookupSheet!$C:$D,2,0),VLOOKUP(A51,'1_Raw_Data'!$A:$J,8,0)))</f>
        <v>Jan-2024</v>
      </c>
      <c r="I51" t="str">
        <f>IFERROR(VLOOKUP(LOWER(VLOOKUP(A51,'1_Raw_Data'!$A:$J,9,0)),LookupSheet!$E:$F,2,0),VLOOKUP(A51,'1_Raw_Data'!$A:$J,9,0))</f>
        <v>Pending</v>
      </c>
      <c r="J51" t="str">
        <f>IFERROR(IF(VLOOKUP(A51,'1_Raw_Data'!$A:$J,10,FALSE)="","",VLOOKUP(A51,'1_Raw_Data'!$A:$J,10,FALSE)),"")</f>
        <v>Original lost</v>
      </c>
      <c r="K51" t="str">
        <f t="shared" si="1"/>
        <v>Clean</v>
      </c>
      <c r="L51">
        <f>IF(G51="GBP",1,VLOOKUP(H51,FX_Rates!$A:$B,2,0))</f>
        <v>0.85709999999999997</v>
      </c>
    </row>
    <row r="52" spans="1:12">
      <c r="A52">
        <f>IFERROR(INDEX('1_Raw_Data'!$A:$A,MATCH(ROW()-1,'1_Raw_Data'!$M:$M,0)),"")</f>
        <v>51</v>
      </c>
      <c r="B52" t="str">
        <f>IFERROR(VLOOKUP(LOWER(VLOOKUP(A52,'1_Raw_Data'!$A:$J,2,0)),LookupSheet!$A:$B,2,0),"MISSING")</f>
        <v>Sweden</v>
      </c>
      <c r="C52" t="str">
        <f>VLOOKUP(A52,'1_Raw_Data'!$A:$J,3,0)</f>
        <v>MediaCom</v>
      </c>
      <c r="D52" t="str">
        <f>VLOOKUP(A52,'1_Raw_Data'!$A:$J,4,0)</f>
        <v>Regional Launch NL</v>
      </c>
      <c r="E52" s="22">
        <f>'1_Raw_Data'!E52*L52</f>
        <v>0</v>
      </c>
      <c r="F52" s="22" t="str">
        <f>IF('1_Raw_Data'!F52="","MISSING",'1_Raw_Data'!F52*L52)</f>
        <v>MISSING</v>
      </c>
      <c r="G52" t="str">
        <f>UPPER(SUBSTITUTE(SUBSTITUTE(VLOOKUP(A52,'1_Raw_Data'!$A:$J,7,0),"€","EUR"),"£","GBP"))</f>
        <v>EUR</v>
      </c>
      <c r="H52" t="str">
        <f>IFERROR(VLOOKUP(LOWER(VLOOKUP(A52,'1_Raw_Data'!$A:$J,8,0)),LookupSheet!$C:$D,2,0),IFERROR(VLOOKUP(LOWER(TEXT(VLOOKUP(A52,'1_Raw_Data'!$A:$J,8,0),"mmm-yy")),LookupSheet!$C:$D,2,0),VLOOKUP(A52,'1_Raw_Data'!$A:$J,8,0)))</f>
        <v>Mar-2024</v>
      </c>
      <c r="I52" t="str">
        <f>IFERROR(VLOOKUP(LOWER(VLOOKUP(A52,'1_Raw_Data'!$A:$J,9,0)),LookupSheet!$E:$F,2,0),VLOOKUP(A52,'1_Raw_Data'!$A:$J,9,0))</f>
        <v>Pending</v>
      </c>
      <c r="J52" t="str">
        <f>IFERROR(IF(VLOOKUP(A52,'1_Raw_Data'!$A:$J,10,FALSE)="","",VLOOKUP(A52,'1_Raw_Data'!$A:$J,10,FALSE)),"")</f>
        <v/>
      </c>
      <c r="K52" t="str">
        <f t="shared" si="1"/>
        <v>Invoice_Amount_GBP: Missing</v>
      </c>
      <c r="L52">
        <f>IF(G52="GBP",1,VLOOKUP(H52,FX_Rates!$A:$B,2,0))</f>
        <v>0.85650000000000004</v>
      </c>
    </row>
    <row r="53" spans="1:12">
      <c r="A53">
        <f>IFERROR(INDEX('1_Raw_Data'!$A:$A,MATCH(ROW()-1,'1_Raw_Data'!$M:$M,0)),"")</f>
        <v>52</v>
      </c>
      <c r="B53" t="str">
        <f>IFERROR(VLOOKUP(LOWER(VLOOKUP(A53,'1_Raw_Data'!$A:$J,2,0)),LookupSheet!$A:$B,2,0),"MISSING")</f>
        <v>UK</v>
      </c>
      <c r="C53" t="str">
        <f>VLOOKUP(A53,'1_Raw_Data'!$A:$J,3,0)</f>
        <v>GroupM</v>
      </c>
      <c r="D53" t="str">
        <f>VLOOKUP(A53,'1_Raw_Data'!$A:$J,4,0)</f>
        <v>Q2 Retargeting Sweep</v>
      </c>
      <c r="E53" s="22">
        <f>'1_Raw_Data'!E53*L53</f>
        <v>47618.739286999997</v>
      </c>
      <c r="F53" s="22">
        <f>IF('1_Raw_Data'!F53="","MISSING",'1_Raw_Data'!F53*L53)</f>
        <v>45513.144739999996</v>
      </c>
      <c r="G53" t="str">
        <f>UPPER(SUBSTITUTE(SUBSTITUTE(VLOOKUP(A53,'1_Raw_Data'!$A:$J,7,0),"€","EUR"),"£","GBP"))</f>
        <v>EUR</v>
      </c>
      <c r="H53" t="str">
        <f>IFERROR(VLOOKUP(LOWER(VLOOKUP(A53,'1_Raw_Data'!$A:$J,8,0)),LookupSheet!$C:$D,2,0),IFERROR(VLOOKUP(LOWER(TEXT(VLOOKUP(A53,'1_Raw_Data'!$A:$J,8,0),"mmm-yy")),LookupSheet!$C:$D,2,0),VLOOKUP(A53,'1_Raw_Data'!$A:$J,8,0)))</f>
        <v>May-2024</v>
      </c>
      <c r="I53" t="str">
        <f>IFERROR(VLOOKUP(LOWER(VLOOKUP(A53,'1_Raw_Data'!$A:$J,9,0)),LookupSheet!$E:$F,2,0),VLOOKUP(A53,'1_Raw_Data'!$A:$J,9,0))</f>
        <v>Paid</v>
      </c>
      <c r="J53" t="str">
        <f>IFERROR(IF(VLOOKUP(A53,'1_Raw_Data'!$A:$J,10,FALSE)="","",VLOOKUP(A53,'1_Raw_Data'!$A:$J,10,FALSE)),"")</f>
        <v/>
      </c>
      <c r="K53" t="str">
        <f t="shared" si="1"/>
        <v>Clean</v>
      </c>
      <c r="L53">
        <f>IF(G53="GBP",1,VLOOKUP(H53,FX_Rates!$A:$B,2,0))</f>
        <v>0.85329999999999995</v>
      </c>
    </row>
    <row r="54" spans="1:12">
      <c r="A54">
        <f>IFERROR(INDEX('1_Raw_Data'!$A:$A,MATCH(ROW()-1,'1_Raw_Data'!$M:$M,0)),"")</f>
        <v>53</v>
      </c>
      <c r="B54" t="str">
        <f>IFERROR(VLOOKUP(LOWER(VLOOKUP(A54,'1_Raw_Data'!$A:$J,2,0)),LookupSheet!$A:$B,2,0),"MISSING")</f>
        <v>Italy</v>
      </c>
      <c r="C54" t="str">
        <f>VLOOKUP(A54,'1_Raw_Data'!$A:$J,3,0)</f>
        <v>Hearts &amp; Science</v>
      </c>
      <c r="D54" t="str">
        <f>VLOOKUP(A54,'1_Raw_Data'!$A:$J,4,0)</f>
        <v>Premium Tier Push</v>
      </c>
      <c r="E54" s="22">
        <f>'1_Raw_Data'!E54*L54</f>
        <v>13430.540949</v>
      </c>
      <c r="F54" s="22">
        <f>IF('1_Raw_Data'!F54="","MISSING",'1_Raw_Data'!F54*L54)</f>
        <v>13785.658809999999</v>
      </c>
      <c r="G54" t="str">
        <f>UPPER(SUBSTITUTE(SUBSTITUTE(VLOOKUP(A54,'1_Raw_Data'!$A:$J,7,0),"€","EUR"),"£","GBP"))</f>
        <v>EUR</v>
      </c>
      <c r="H54" t="str">
        <f>IFERROR(VLOOKUP(LOWER(VLOOKUP(A54,'1_Raw_Data'!$A:$J,8,0)),LookupSheet!$C:$D,2,0),IFERROR(VLOOKUP(LOWER(TEXT(VLOOKUP(A54,'1_Raw_Data'!$A:$J,8,0),"mmm-yy")),LookupSheet!$C:$D,2,0),VLOOKUP(A54,'1_Raw_Data'!$A:$J,8,0)))</f>
        <v>May-2024</v>
      </c>
      <c r="I54" t="str">
        <f>IFERROR(VLOOKUP(LOWER(VLOOKUP(A54,'1_Raw_Data'!$A:$J,9,0)),LookupSheet!$E:$F,2,0),VLOOKUP(A54,'1_Raw_Data'!$A:$J,9,0))</f>
        <v>Pending</v>
      </c>
      <c r="J54" t="str">
        <f>IFERROR(IF(VLOOKUP(A54,'1_Raw_Data'!$A:$J,10,FALSE)="","",VLOOKUP(A54,'1_Raw_Data'!$A:$J,10,FALSE)),"")</f>
        <v/>
      </c>
      <c r="K54" t="str">
        <f t="shared" si="1"/>
        <v>Clean</v>
      </c>
      <c r="L54">
        <f>IF(G54="GBP",1,VLOOKUP(H54,FX_Rates!$A:$B,2,0))</f>
        <v>0.85329999999999995</v>
      </c>
    </row>
    <row r="55" spans="1:12">
      <c r="A55">
        <f>IFERROR(INDEX('1_Raw_Data'!$A:$A,MATCH(ROW()-1,'1_Raw_Data'!$M:$M,0)),"")</f>
        <v>54</v>
      </c>
      <c r="B55" t="str">
        <f>IFERROR(VLOOKUP(LOWER(VLOOKUP(A55,'1_Raw_Data'!$A:$J,2,0)),LookupSheet!$A:$B,2,0),"MISSING")</f>
        <v>Netherlands</v>
      </c>
      <c r="C55" t="str">
        <f>VLOOKUP(A55,'1_Raw_Data'!$A:$J,3,0)</f>
        <v>Hearts &amp; Science</v>
      </c>
      <c r="D55" t="str">
        <f>VLOOKUP(A55,'1_Raw_Data'!$A:$J,4,0)</f>
        <v>Q1 Brand Awareness</v>
      </c>
      <c r="E55" s="22">
        <f>'1_Raw_Data'!E55*L55</f>
        <v>100819.64771199999</v>
      </c>
      <c r="F55" s="22">
        <f>IF('1_Raw_Data'!F55="","MISSING",'1_Raw_Data'!F55*L55)</f>
        <v>98177.591988</v>
      </c>
      <c r="G55" t="str">
        <f>UPPER(SUBSTITUTE(SUBSTITUTE(VLOOKUP(A55,'1_Raw_Data'!$A:$J,7,0),"€","EUR"),"£","GBP"))</f>
        <v>EUR</v>
      </c>
      <c r="H55" t="str">
        <f>IFERROR(VLOOKUP(LOWER(VLOOKUP(A55,'1_Raw_Data'!$A:$J,8,0)),LookupSheet!$C:$D,2,0),IFERROR(VLOOKUP(LOWER(TEXT(VLOOKUP(A55,'1_Raw_Data'!$A:$J,8,0),"mmm-yy")),LookupSheet!$C:$D,2,0),VLOOKUP(A55,'1_Raw_Data'!$A:$J,8,0)))</f>
        <v>May-2024</v>
      </c>
      <c r="I55" t="str">
        <f>IFERROR(VLOOKUP(LOWER(VLOOKUP(A55,'1_Raw_Data'!$A:$J,9,0)),LookupSheet!$E:$F,2,0),VLOOKUP(A55,'1_Raw_Data'!$A:$J,9,0))</f>
        <v>Disputed</v>
      </c>
      <c r="J55" t="str">
        <f>IFERROR(IF(VLOOKUP(A55,'1_Raw_Data'!$A:$J,10,FALSE)="","",VLOOKUP(A55,'1_Raw_Data'!$A:$J,10,FALSE)),"")</f>
        <v>Original lost</v>
      </c>
      <c r="K55" t="str">
        <f t="shared" si="1"/>
        <v>Clean</v>
      </c>
      <c r="L55">
        <f>IF(G55="GBP",1,VLOOKUP(H55,FX_Rates!$A:$B,2,0))</f>
        <v>0.85329999999999995</v>
      </c>
    </row>
    <row r="56" spans="1:12">
      <c r="A56">
        <f>IFERROR(INDEX('1_Raw_Data'!$A:$A,MATCH(ROW()-1,'1_Raw_Data'!$M:$M,0)),"")</f>
        <v>55</v>
      </c>
      <c r="B56" t="str">
        <f>IFERROR(VLOOKUP(LOWER(VLOOKUP(A56,'1_Raw_Data'!$A:$J,2,0)),LookupSheet!$A:$B,2,0),"MISSING")</f>
        <v>Sweden</v>
      </c>
      <c r="C56" t="str">
        <f>VLOOKUP(A56,'1_Raw_Data'!$A:$J,3,0)</f>
        <v>Havas Media</v>
      </c>
      <c r="D56" t="str">
        <f>VLOOKUP(A56,'1_Raw_Data'!$A:$J,4,0)</f>
        <v>Programmatic Top-Up</v>
      </c>
      <c r="E56" s="22">
        <f>'1_Raw_Data'!E56*L56</f>
        <v>33058.21</v>
      </c>
      <c r="F56" s="22">
        <f>IF('1_Raw_Data'!F56="","MISSING",'1_Raw_Data'!F56*L56)</f>
        <v>30426.38</v>
      </c>
      <c r="G56" t="str">
        <f>UPPER(SUBSTITUTE(SUBSTITUTE(VLOOKUP(A56,'1_Raw_Data'!$A:$J,7,0),"€","EUR"),"£","GBP"))</f>
        <v>GBP</v>
      </c>
      <c r="H56" t="str">
        <f>IFERROR(VLOOKUP(LOWER(VLOOKUP(A56,'1_Raw_Data'!$A:$J,8,0)),LookupSheet!$C:$D,2,0),IFERROR(VLOOKUP(LOWER(TEXT(VLOOKUP(A56,'1_Raw_Data'!$A:$J,8,0),"mmm-yy")),LookupSheet!$C:$D,2,0),VLOOKUP(A56,'1_Raw_Data'!$A:$J,8,0)))</f>
        <v>May-2024</v>
      </c>
      <c r="I56" t="str">
        <f>IFERROR(VLOOKUP(LOWER(VLOOKUP(A56,'1_Raw_Data'!$A:$J,9,0)),LookupSheet!$E:$F,2,0),VLOOKUP(A56,'1_Raw_Data'!$A:$J,9,0))</f>
        <v>Disputed</v>
      </c>
      <c r="J56" t="str">
        <f>IFERROR(IF(VLOOKUP(A56,'1_Raw_Data'!$A:$J,10,FALSE)="","",VLOOKUP(A56,'1_Raw_Data'!$A:$J,10,FALSE)),"")</f>
        <v>Re-sent</v>
      </c>
      <c r="K56" t="str">
        <f t="shared" si="1"/>
        <v>Clean</v>
      </c>
      <c r="L56">
        <f>IF(G56="GBP",1,VLOOKUP(H56,FX_Rates!$A:$B,2,0))</f>
        <v>1</v>
      </c>
    </row>
    <row r="57" spans="1:12">
      <c r="A57">
        <f>IFERROR(INDEX('1_Raw_Data'!$A:$A,MATCH(ROW()-1,'1_Raw_Data'!$M:$M,0)),"")</f>
        <v>56</v>
      </c>
      <c r="B57" t="str">
        <f>IFERROR(VLOOKUP(LOWER(VLOOKUP(A57,'1_Raw_Data'!$A:$J,2,0)),LookupSheet!$A:$B,2,0),"MISSING")</f>
        <v>France</v>
      </c>
      <c r="C57" t="str">
        <f>VLOOKUP(A57,'1_Raw_Data'!$A:$J,3,0)</f>
        <v>Hearts &amp; Science</v>
      </c>
      <c r="D57" t="str">
        <f>VLOOKUP(A57,'1_Raw_Data'!$A:$J,4,0)</f>
        <v>Winter Churn Prevention</v>
      </c>
      <c r="E57" s="22">
        <f>'1_Raw_Data'!E57*L57</f>
        <v>58321.809479999996</v>
      </c>
      <c r="F57" s="22">
        <f>IF('1_Raw_Data'!F57="","MISSING",'1_Raw_Data'!F57*L57)</f>
        <v>59400.475240000007</v>
      </c>
      <c r="G57" t="str">
        <f>UPPER(SUBSTITUTE(SUBSTITUTE(VLOOKUP(A57,'1_Raw_Data'!$A:$J,7,0),"€","EUR"),"£","GBP"))</f>
        <v>EUR</v>
      </c>
      <c r="H57" t="str">
        <f>IFERROR(VLOOKUP(LOWER(VLOOKUP(A57,'1_Raw_Data'!$A:$J,8,0)),LookupSheet!$C:$D,2,0),IFERROR(VLOOKUP(LOWER(TEXT(VLOOKUP(A57,'1_Raw_Data'!$A:$J,8,0),"mmm-yy")),LookupSheet!$C:$D,2,0),VLOOKUP(A57,'1_Raw_Data'!$A:$J,8,0)))</f>
        <v>Jun-2024</v>
      </c>
      <c r="I57" t="str">
        <f>IFERROR(VLOOKUP(LOWER(VLOOKUP(A57,'1_Raw_Data'!$A:$J,9,0)),LookupSheet!$E:$F,2,0),VLOOKUP(A57,'1_Raw_Data'!$A:$J,9,0))</f>
        <v>Disputed</v>
      </c>
      <c r="J57" t="str">
        <f>IFERROR(IF(VLOOKUP(A57,'1_Raw_Data'!$A:$J,10,FALSE)="","",VLOOKUP(A57,'1_Raw_Data'!$A:$J,10,FALSE)),"")</f>
        <v/>
      </c>
      <c r="K57" t="str">
        <f t="shared" si="1"/>
        <v>Clean</v>
      </c>
      <c r="L57">
        <f>IF(G57="GBP",1,VLOOKUP(H57,FX_Rates!$A:$B,2,0))</f>
        <v>0.84399999999999997</v>
      </c>
    </row>
    <row r="58" spans="1:12">
      <c r="A58">
        <f>IFERROR(INDEX('1_Raw_Data'!$A:$A,MATCH(ROW()-1,'1_Raw_Data'!$M:$M,0)),"")</f>
        <v>57</v>
      </c>
      <c r="B58" t="str">
        <f>IFERROR(VLOOKUP(LOWER(VLOOKUP(A58,'1_Raw_Data'!$A:$J,2,0)),LookupSheet!$A:$B,2,0),"MISSING")</f>
        <v>Germany</v>
      </c>
      <c r="C58" t="str">
        <f>VLOOKUP(A58,'1_Raw_Data'!$A:$J,3,0)</f>
        <v>Hearts &amp; Science</v>
      </c>
      <c r="D58" t="str">
        <f>VLOOKUP(A58,'1_Raw_Data'!$A:$J,4,0)</f>
        <v>Subscriber Acquisition - Spring</v>
      </c>
      <c r="E58" s="22">
        <f>'1_Raw_Data'!E58*L58</f>
        <v>107513.98</v>
      </c>
      <c r="F58" s="22">
        <f>IF('1_Raw_Data'!F58="","MISSING",'1_Raw_Data'!F58*L58)</f>
        <v>104326.1</v>
      </c>
      <c r="G58" t="str">
        <f>UPPER(SUBSTITUTE(SUBSTITUTE(VLOOKUP(A58,'1_Raw_Data'!$A:$J,7,0),"€","EUR"),"£","GBP"))</f>
        <v>GBP</v>
      </c>
      <c r="H58" t="str">
        <f>IFERROR(VLOOKUP(LOWER(VLOOKUP(A58,'1_Raw_Data'!$A:$J,8,0)),LookupSheet!$C:$D,2,0),IFERROR(VLOOKUP(LOWER(TEXT(VLOOKUP(A58,'1_Raw_Data'!$A:$J,8,0),"mmm-yy")),LookupSheet!$C:$D,2,0),VLOOKUP(A58,'1_Raw_Data'!$A:$J,8,0)))</f>
        <v>Apr-2024</v>
      </c>
      <c r="I58" t="str">
        <f>IFERROR(VLOOKUP(LOWER(VLOOKUP(A58,'1_Raw_Data'!$A:$J,9,0)),LookupSheet!$E:$F,2,0),VLOOKUP(A58,'1_Raw_Data'!$A:$J,9,0))</f>
        <v>Disputed</v>
      </c>
      <c r="J58" t="str">
        <f>IFERROR(IF(VLOOKUP(A58,'1_Raw_Data'!$A:$J,10,FALSE)="","",VLOOKUP(A58,'1_Raw_Data'!$A:$J,10,FALSE)),"")</f>
        <v/>
      </c>
      <c r="K58" t="str">
        <f t="shared" si="1"/>
        <v>Clean</v>
      </c>
      <c r="L58">
        <f>IF(G58="GBP",1,VLOOKUP(H58,FX_Rates!$A:$B,2,0))</f>
        <v>1</v>
      </c>
    </row>
    <row r="59" spans="1:12">
      <c r="A59">
        <f>IFERROR(INDEX('1_Raw_Data'!$A:$A,MATCH(ROW()-1,'1_Raw_Data'!$M:$M,0)),"")</f>
        <v>58</v>
      </c>
      <c r="B59" t="str">
        <f>IFERROR(VLOOKUP(LOWER(VLOOKUP(A59,'1_Raw_Data'!$A:$J,2,0)),LookupSheet!$A:$B,2,0),"MISSING")</f>
        <v>France</v>
      </c>
      <c r="C59" t="str">
        <f>VLOOKUP(A59,'1_Raw_Data'!$A:$J,3,0)</f>
        <v>Publicis</v>
      </c>
      <c r="D59" t="str">
        <f>VLOOKUP(A59,'1_Raw_Data'!$A:$J,4,0)</f>
        <v>Q2 Retargeting Sweep</v>
      </c>
      <c r="E59" s="22">
        <f>'1_Raw_Data'!E59*L59</f>
        <v>29833.105412999997</v>
      </c>
      <c r="F59" s="22" t="str">
        <f>IF('1_Raw_Data'!F59="","MISSING",'1_Raw_Data'!F59*L59)</f>
        <v>MISSING</v>
      </c>
      <c r="G59" t="str">
        <f>UPPER(SUBSTITUTE(SUBSTITUTE(VLOOKUP(A59,'1_Raw_Data'!$A:$J,7,0),"€","EUR"),"£","GBP"))</f>
        <v>EUR</v>
      </c>
      <c r="H59" t="str">
        <f>IFERROR(VLOOKUP(LOWER(VLOOKUP(A59,'1_Raw_Data'!$A:$J,8,0)),LookupSheet!$C:$D,2,0),IFERROR(VLOOKUP(LOWER(TEXT(VLOOKUP(A59,'1_Raw_Data'!$A:$J,8,0),"mmm-yy")),LookupSheet!$C:$D,2,0),VLOOKUP(A59,'1_Raw_Data'!$A:$J,8,0)))</f>
        <v>Jan-2024</v>
      </c>
      <c r="I59" t="str">
        <f>IFERROR(VLOOKUP(LOWER(VLOOKUP(A59,'1_Raw_Data'!$A:$J,9,0)),LookupSheet!$E:$F,2,0),VLOOKUP(A59,'1_Raw_Data'!$A:$J,9,0))</f>
        <v>Under Review</v>
      </c>
      <c r="J59" t="str">
        <f>IFERROR(IF(VLOOKUP(A59,'1_Raw_Data'!$A:$J,10,FALSE)="","",VLOOKUP(A59,'1_Raw_Data'!$A:$J,10,FALSE)),"")</f>
        <v>Amended</v>
      </c>
      <c r="K59" t="str">
        <f t="shared" si="1"/>
        <v>Invoice_Amount_GBP: Missing</v>
      </c>
      <c r="L59">
        <f>IF(G59="GBP",1,VLOOKUP(H59,FX_Rates!$A:$B,2,0))</f>
        <v>0.85709999999999997</v>
      </c>
    </row>
    <row r="60" spans="1:12">
      <c r="A60">
        <f>IFERROR(INDEX('1_Raw_Data'!$A:$A,MATCH(ROW()-1,'1_Raw_Data'!$M:$M,0)),"")</f>
        <v>59</v>
      </c>
      <c r="B60" t="str">
        <f>IFERROR(VLOOKUP(LOWER(VLOOKUP(A60,'1_Raw_Data'!$A:$J,2,0)),LookupSheet!$A:$B,2,0),"MISSING")</f>
        <v>Spain</v>
      </c>
      <c r="C60" t="str">
        <f>VLOOKUP(A60,'1_Raw_Data'!$A:$J,3,0)</f>
        <v>Mindshare</v>
      </c>
      <c r="D60" t="str">
        <f>VLOOKUP(A60,'1_Raw_Data'!$A:$J,4,0)</f>
        <v>Winter Churn Prevention</v>
      </c>
      <c r="E60" s="22">
        <f>'1_Raw_Data'!E60*L60</f>
        <v>87057.66</v>
      </c>
      <c r="F60" s="22">
        <f>IF('1_Raw_Data'!F60="","MISSING",'1_Raw_Data'!F60*L60)</f>
        <v>87057.66</v>
      </c>
      <c r="G60" t="str">
        <f>UPPER(SUBSTITUTE(SUBSTITUTE(VLOOKUP(A60,'1_Raw_Data'!$A:$J,7,0),"€","EUR"),"£","GBP"))</f>
        <v>GBP</v>
      </c>
      <c r="H60" t="str">
        <f>IFERROR(VLOOKUP(LOWER(VLOOKUP(A60,'1_Raw_Data'!$A:$J,8,0)),LookupSheet!$C:$D,2,0),IFERROR(VLOOKUP(LOWER(TEXT(VLOOKUP(A60,'1_Raw_Data'!$A:$J,8,0),"mmm-yy")),LookupSheet!$C:$D,2,0),VLOOKUP(A60,'1_Raw_Data'!$A:$J,8,0)))</f>
        <v>May-2024</v>
      </c>
      <c r="I60" t="str">
        <f>IFERROR(VLOOKUP(LOWER(VLOOKUP(A60,'1_Raw_Data'!$A:$J,9,0)),LookupSheet!$E:$F,2,0),VLOOKUP(A60,'1_Raw_Data'!$A:$J,9,0))</f>
        <v>Paid</v>
      </c>
      <c r="J60" t="str">
        <f>IFERROR(IF(VLOOKUP(A60,'1_Raw_Data'!$A:$J,10,FALSE)="","",VLOOKUP(A60,'1_Raw_Data'!$A:$J,10,FALSE)),"")</f>
        <v/>
      </c>
      <c r="K60" t="str">
        <f t="shared" si="1"/>
        <v>Clean</v>
      </c>
      <c r="L60">
        <f>IF(G60="GBP",1,VLOOKUP(H60,FX_Rates!$A:$B,2,0))</f>
        <v>1</v>
      </c>
    </row>
    <row r="61" spans="1:12">
      <c r="A61">
        <f>IFERROR(INDEX('1_Raw_Data'!$A:$A,MATCH(ROW()-1,'1_Raw_Data'!$M:$M,0)),"")</f>
        <v>60</v>
      </c>
      <c r="B61" t="str">
        <f>IFERROR(VLOOKUP(LOWER(VLOOKUP(A61,'1_Raw_Data'!$A:$J,2,0)),LookupSheet!$A:$B,2,0),"MISSING")</f>
        <v>Sweden</v>
      </c>
      <c r="C61" t="str">
        <f>VLOOKUP(A61,'1_Raw_Data'!$A:$J,3,0)</f>
        <v>IPG Mediabrands</v>
      </c>
      <c r="D61" t="str">
        <f>VLOOKUP(A61,'1_Raw_Data'!$A:$J,4,0)</f>
        <v>Winter Churn Prevention</v>
      </c>
      <c r="E61" s="22">
        <f>'1_Raw_Data'!E61*L61</f>
        <v>49049.06</v>
      </c>
      <c r="F61" s="22">
        <f>IF('1_Raw_Data'!F61="","MISSING",'1_Raw_Data'!F61*L61)</f>
        <v>49049.06</v>
      </c>
      <c r="G61" t="str">
        <f>UPPER(SUBSTITUTE(SUBSTITUTE(VLOOKUP(A61,'1_Raw_Data'!$A:$J,7,0),"€","EUR"),"£","GBP"))</f>
        <v>GBP</v>
      </c>
      <c r="H61" t="str">
        <f>IFERROR(VLOOKUP(LOWER(VLOOKUP(A61,'1_Raw_Data'!$A:$J,8,0)),LookupSheet!$C:$D,2,0),IFERROR(VLOOKUP(LOWER(TEXT(VLOOKUP(A61,'1_Raw_Data'!$A:$J,8,0),"mmm-yy")),LookupSheet!$C:$D,2,0),VLOOKUP(A61,'1_Raw_Data'!$A:$J,8,0)))</f>
        <v>May-2024</v>
      </c>
      <c r="I61" t="str">
        <f>IFERROR(VLOOKUP(LOWER(VLOOKUP(A61,'1_Raw_Data'!$A:$J,9,0)),LookupSheet!$E:$F,2,0),VLOOKUP(A61,'1_Raw_Data'!$A:$J,9,0))</f>
        <v>Disputed</v>
      </c>
      <c r="J61" t="str">
        <f>IFERROR(IF(VLOOKUP(A61,'1_Raw_Data'!$A:$J,10,FALSE)="","",VLOOKUP(A61,'1_Raw_Data'!$A:$J,10,FALSE)),"")</f>
        <v>Original lost</v>
      </c>
      <c r="K61" t="str">
        <f t="shared" si="1"/>
        <v>Clean</v>
      </c>
      <c r="L61">
        <f>IF(G61="GBP",1,VLOOKUP(H61,FX_Rates!$A:$B,2,0))</f>
        <v>1</v>
      </c>
    </row>
    <row r="62" spans="1:12">
      <c r="A62">
        <f>IFERROR(INDEX('1_Raw_Data'!$A:$A,MATCH(ROW()-1,'1_Raw_Data'!$M:$M,0)),"")</f>
        <v>61</v>
      </c>
      <c r="B62" t="str">
        <f>IFERROR(VLOOKUP(LOWER(VLOOKUP(A62,'1_Raw_Data'!$A:$J,2,0)),LookupSheet!$A:$B,2,0),"MISSING")</f>
        <v>Sweden</v>
      </c>
      <c r="C62" t="str">
        <f>VLOOKUP(A62,'1_Raw_Data'!$A:$J,3,0)</f>
        <v>Dentsu</v>
      </c>
      <c r="D62" t="str">
        <f>VLOOKUP(A62,'1_Raw_Data'!$A:$J,4,0)</f>
        <v>Winter Churn Prevention</v>
      </c>
      <c r="E62" s="22">
        <f>'1_Raw_Data'!E62*L62</f>
        <v>52814.04</v>
      </c>
      <c r="F62" s="22">
        <f>IF('1_Raw_Data'!F62="","MISSING",'1_Raw_Data'!F62*L62)</f>
        <v>52814.04</v>
      </c>
      <c r="G62" t="str">
        <f>UPPER(SUBSTITUTE(SUBSTITUTE(VLOOKUP(A62,'1_Raw_Data'!$A:$J,7,0),"€","EUR"),"£","GBP"))</f>
        <v>GBP</v>
      </c>
      <c r="H62" t="str">
        <f>IFERROR(VLOOKUP(LOWER(VLOOKUP(A62,'1_Raw_Data'!$A:$J,8,0)),LookupSheet!$C:$D,2,0),IFERROR(VLOOKUP(LOWER(TEXT(VLOOKUP(A62,'1_Raw_Data'!$A:$J,8,0),"mmm-yy")),LookupSheet!$C:$D,2,0),VLOOKUP(A62,'1_Raw_Data'!$A:$J,8,0)))</f>
        <v>May-2024</v>
      </c>
      <c r="I62" t="str">
        <f>IFERROR(VLOOKUP(LOWER(VLOOKUP(A62,'1_Raw_Data'!$A:$J,9,0)),LookupSheet!$E:$F,2,0),VLOOKUP(A62,'1_Raw_Data'!$A:$J,9,0))</f>
        <v>Under Review</v>
      </c>
      <c r="J62" t="str">
        <f>IFERROR(IF(VLOOKUP(A62,'1_Raw_Data'!$A:$J,10,FALSE)="","",VLOOKUP(A62,'1_Raw_Data'!$A:$J,10,FALSE)),"")</f>
        <v>Amended</v>
      </c>
      <c r="K62" t="str">
        <f t="shared" si="1"/>
        <v>Clean</v>
      </c>
      <c r="L62">
        <f>IF(G62="GBP",1,VLOOKUP(H62,FX_Rates!$A:$B,2,0))</f>
        <v>1</v>
      </c>
    </row>
    <row r="63" spans="1:12">
      <c r="A63">
        <f>IFERROR(INDEX('1_Raw_Data'!$A:$A,MATCH(ROW()-1,'1_Raw_Data'!$M:$M,0)),"")</f>
        <v>62</v>
      </c>
      <c r="B63" t="str">
        <f>IFERROR(VLOOKUP(LOWER(VLOOKUP(A63,'1_Raw_Data'!$A:$J,2,0)),LookupSheet!$A:$B,2,0),"MISSING")</f>
        <v>France</v>
      </c>
      <c r="C63" t="str">
        <f>VLOOKUP(A63,'1_Raw_Data'!$A:$J,3,0)</f>
        <v>Hearts &amp; Science</v>
      </c>
      <c r="D63" t="str">
        <f>VLOOKUP(A63,'1_Raw_Data'!$A:$J,4,0)</f>
        <v>Data-Driven Creative</v>
      </c>
      <c r="E63" s="22">
        <f>'1_Raw_Data'!E63*L63</f>
        <v>5678.05</v>
      </c>
      <c r="F63" s="22">
        <f>IF('1_Raw_Data'!F63="","MISSING",'1_Raw_Data'!F63*L63)</f>
        <v>5678.05</v>
      </c>
      <c r="G63" t="str">
        <f>UPPER(SUBSTITUTE(SUBSTITUTE(VLOOKUP(A63,'1_Raw_Data'!$A:$J,7,0),"€","EUR"),"£","GBP"))</f>
        <v>GBP</v>
      </c>
      <c r="H63" t="str">
        <f>IFERROR(VLOOKUP(LOWER(VLOOKUP(A63,'1_Raw_Data'!$A:$J,8,0)),LookupSheet!$C:$D,2,0),IFERROR(VLOOKUP(LOWER(TEXT(VLOOKUP(A63,'1_Raw_Data'!$A:$J,8,0),"mmm-yy")),LookupSheet!$C:$D,2,0),VLOOKUP(A63,'1_Raw_Data'!$A:$J,8,0)))</f>
        <v>Jan-2024</v>
      </c>
      <c r="I63" t="str">
        <f>IFERROR(VLOOKUP(LOWER(VLOOKUP(A63,'1_Raw_Data'!$A:$J,9,0)),LookupSheet!$E:$F,2,0),VLOOKUP(A63,'1_Raw_Data'!$A:$J,9,0))</f>
        <v>Confirmed</v>
      </c>
      <c r="J63" t="str">
        <f>IFERROR(IF(VLOOKUP(A63,'1_Raw_Data'!$A:$J,10,FALSE)="","",VLOOKUP(A63,'1_Raw_Data'!$A:$J,10,FALSE)),"")</f>
        <v>Amended</v>
      </c>
      <c r="K63" t="str">
        <f t="shared" si="1"/>
        <v>Clean</v>
      </c>
      <c r="L63">
        <f>IF(G63="GBP",1,VLOOKUP(H63,FX_Rates!$A:$B,2,0))</f>
        <v>1</v>
      </c>
    </row>
    <row r="64" spans="1:12">
      <c r="A64">
        <f>IFERROR(INDEX('1_Raw_Data'!$A:$A,MATCH(ROW()-1,'1_Raw_Data'!$M:$M,0)),"")</f>
        <v>63</v>
      </c>
      <c r="B64" t="str">
        <f>IFERROR(VLOOKUP(LOWER(VLOOKUP(A64,'1_Raw_Data'!$A:$J,2,0)),LookupSheet!$A:$B,2,0),"MISSING")</f>
        <v>France</v>
      </c>
      <c r="C64" t="str">
        <f>VLOOKUP(A64,'1_Raw_Data'!$A:$J,3,0)</f>
        <v>Hearts &amp; Science</v>
      </c>
      <c r="D64" t="str">
        <f>VLOOKUP(A64,'1_Raw_Data'!$A:$J,4,0)</f>
        <v>Content Promo Jan</v>
      </c>
      <c r="E64" s="22">
        <f>'1_Raw_Data'!E64*L64</f>
        <v>25798.237016999999</v>
      </c>
      <c r="F64" s="22">
        <f>IF('1_Raw_Data'!F64="","MISSING",'1_Raw_Data'!F64*L64)</f>
        <v>25798.237016999999</v>
      </c>
      <c r="G64" t="str">
        <f>UPPER(SUBSTITUTE(SUBSTITUTE(VLOOKUP(A64,'1_Raw_Data'!$A:$J,7,0),"€","EUR"),"£","GBP"))</f>
        <v>EUR</v>
      </c>
      <c r="H64" t="str">
        <f>IFERROR(VLOOKUP(LOWER(VLOOKUP(A64,'1_Raw_Data'!$A:$J,8,0)),LookupSheet!$C:$D,2,0),IFERROR(VLOOKUP(LOWER(TEXT(VLOOKUP(A64,'1_Raw_Data'!$A:$J,8,0),"mmm-yy")),LookupSheet!$C:$D,2,0),VLOOKUP(A64,'1_Raw_Data'!$A:$J,8,0)))</f>
        <v>May-2024</v>
      </c>
      <c r="I64" t="str">
        <f>IFERROR(VLOOKUP(LOWER(VLOOKUP(A64,'1_Raw_Data'!$A:$J,9,0)),LookupSheet!$E:$F,2,0),VLOOKUP(A64,'1_Raw_Data'!$A:$J,9,0))</f>
        <v>Under Review</v>
      </c>
      <c r="J64" t="str">
        <f>IFERROR(IF(VLOOKUP(A64,'1_Raw_Data'!$A:$J,10,FALSE)="","",VLOOKUP(A64,'1_Raw_Data'!$A:$J,10,FALSE)),"")</f>
        <v>Check with agency</v>
      </c>
      <c r="K64" t="str">
        <f t="shared" si="1"/>
        <v>Clean</v>
      </c>
      <c r="L64">
        <f>IF(G64="GBP",1,VLOOKUP(H64,FX_Rates!$A:$B,2,0))</f>
        <v>0.85329999999999995</v>
      </c>
    </row>
    <row r="65" spans="1:12">
      <c r="A65">
        <f>IFERROR(INDEX('1_Raw_Data'!$A:$A,MATCH(ROW()-1,'1_Raw_Data'!$M:$M,0)),"")</f>
        <v>64</v>
      </c>
      <c r="B65" t="str">
        <f>IFERROR(VLOOKUP(LOWER(VLOOKUP(A65,'1_Raw_Data'!$A:$J,2,0)),LookupSheet!$A:$B,2,0),"MISSING")</f>
        <v>Italy</v>
      </c>
      <c r="C65" t="str">
        <f>VLOOKUP(A65,'1_Raw_Data'!$A:$J,3,0)</f>
        <v>Omnicom Media Group</v>
      </c>
      <c r="D65" t="str">
        <f>VLOOKUP(A65,'1_Raw_Data'!$A:$J,4,0)</f>
        <v>Programmatic Top-Up</v>
      </c>
      <c r="E65" s="22">
        <f>'1_Raw_Data'!E65*L65</f>
        <v>16607.556799999998</v>
      </c>
      <c r="F65" s="22">
        <f>IF('1_Raw_Data'!F65="","MISSING",'1_Raw_Data'!F65*L65)</f>
        <v>15310.303479999999</v>
      </c>
      <c r="G65" t="str">
        <f>UPPER(SUBSTITUTE(SUBSTITUTE(VLOOKUP(A65,'1_Raw_Data'!$A:$J,7,0),"€","EUR"),"£","GBP"))</f>
        <v>EUR</v>
      </c>
      <c r="H65" t="str">
        <f>IFERROR(VLOOKUP(LOWER(VLOOKUP(A65,'1_Raw_Data'!$A:$J,8,0)),LookupSheet!$C:$D,2,0),IFERROR(VLOOKUP(LOWER(TEXT(VLOOKUP(A65,'1_Raw_Data'!$A:$J,8,0),"mmm-yy")),LookupSheet!$C:$D,2,0),VLOOKUP(A65,'1_Raw_Data'!$A:$J,8,0)))</f>
        <v>Jun-2024</v>
      </c>
      <c r="I65" t="str">
        <f>IFERROR(VLOOKUP(LOWER(VLOOKUP(A65,'1_Raw_Data'!$A:$J,9,0)),LookupSheet!$E:$F,2,0),VLOOKUP(A65,'1_Raw_Data'!$A:$J,9,0))</f>
        <v>Confirmed</v>
      </c>
      <c r="J65" t="str">
        <f>IFERROR(IF(VLOOKUP(A65,'1_Raw_Data'!$A:$J,10,FALSE)="","",VLOOKUP(A65,'1_Raw_Data'!$A:$J,10,FALSE)),"")</f>
        <v>Original lost</v>
      </c>
      <c r="K65" t="str">
        <f t="shared" si="1"/>
        <v>Clean</v>
      </c>
      <c r="L65">
        <f>IF(G65="GBP",1,VLOOKUP(H65,FX_Rates!$A:$B,2,0))</f>
        <v>0.84399999999999997</v>
      </c>
    </row>
    <row r="66" spans="1:12">
      <c r="A66">
        <f>IFERROR(INDEX('1_Raw_Data'!$A:$A,MATCH(ROW()-1,'1_Raw_Data'!$M:$M,0)),"")</f>
        <v>65</v>
      </c>
      <c r="B66" t="str">
        <f>IFERROR(VLOOKUP(LOWER(VLOOKUP(A66,'1_Raw_Data'!$A:$J,2,0)),LookupSheet!$A:$B,2,0),"MISSING")</f>
        <v>UK</v>
      </c>
      <c r="C66" t="str">
        <f>VLOOKUP(A66,'1_Raw_Data'!$A:$J,3,0)</f>
        <v>Havas Media</v>
      </c>
      <c r="D66" t="str">
        <f>VLOOKUP(A66,'1_Raw_Data'!$A:$J,4,0)</f>
        <v>Q2 Retargeting Sweep</v>
      </c>
      <c r="E66" s="22">
        <f>'1_Raw_Data'!E66*L66</f>
        <v>10782.73</v>
      </c>
      <c r="F66" s="22">
        <f>IF('1_Raw_Data'!F66="","MISSING",'1_Raw_Data'!F66*L66)</f>
        <v>10782.73</v>
      </c>
      <c r="G66" t="str">
        <f>UPPER(SUBSTITUTE(SUBSTITUTE(VLOOKUP(A66,'1_Raw_Data'!$A:$J,7,0),"€","EUR"),"£","GBP"))</f>
        <v>GBP</v>
      </c>
      <c r="H66" t="str">
        <f>IFERROR(VLOOKUP(LOWER(VLOOKUP(A66,'1_Raw_Data'!$A:$J,8,0)),LookupSheet!$C:$D,2,0),IFERROR(VLOOKUP(LOWER(TEXT(VLOOKUP(A66,'1_Raw_Data'!$A:$J,8,0),"mmm-yy")),LookupSheet!$C:$D,2,0),VLOOKUP(A66,'1_Raw_Data'!$A:$J,8,0)))</f>
        <v>Mar-2024</v>
      </c>
      <c r="I66" t="str">
        <f>IFERROR(VLOOKUP(LOWER(VLOOKUP(A66,'1_Raw_Data'!$A:$J,9,0)),LookupSheet!$E:$F,2,0),VLOOKUP(A66,'1_Raw_Data'!$A:$J,9,0))</f>
        <v>Pending</v>
      </c>
      <c r="J66" t="str">
        <f>IFERROR(IF(VLOOKUP(A66,'1_Raw_Data'!$A:$J,10,FALSE)="","",VLOOKUP(A66,'1_Raw_Data'!$A:$J,10,FALSE)),"")</f>
        <v/>
      </c>
      <c r="K66" t="str">
        <f t="shared" ref="K66:K101" si="2">IFERROR(IF(B66="UNKNOWN",$B$1&amp;": Missing",IF(OR(F66="",F66="Invalid",F66="MISSING"),$F$1&amp;": Missing",IF(OR(E66="",E66="Invalid",E66="MISSING"),$E$1&amp;": Missing",IF(G66="",$G$1&amp;": Missing",IF(H66="",$H$1&amp;": Missing",IF(I66="",$I$1&amp;": Missing","Clean")))))),"Clean")</f>
        <v>Clean</v>
      </c>
      <c r="L66">
        <f>IF(G66="GBP",1,VLOOKUP(H66,FX_Rates!$A:$B,2,0))</f>
        <v>1</v>
      </c>
    </row>
    <row r="67" spans="1:12">
      <c r="A67">
        <f>IFERROR(INDEX('1_Raw_Data'!$A:$A,MATCH(ROW()-1,'1_Raw_Data'!$M:$M,0)),"")</f>
        <v>66</v>
      </c>
      <c r="B67" t="str">
        <f>IFERROR(VLOOKUP(LOWER(VLOOKUP(A67,'1_Raw_Data'!$A:$J,2,0)),LookupSheet!$A:$B,2,0),"MISSING")</f>
        <v>Sweden</v>
      </c>
      <c r="C67" t="str">
        <f>VLOOKUP(A67,'1_Raw_Data'!$A:$J,3,0)</f>
        <v>Publicis</v>
      </c>
      <c r="D67" t="str">
        <f>VLOOKUP(A67,'1_Raw_Data'!$A:$J,4,0)</f>
        <v>Q2 Retargeting Sweep</v>
      </c>
      <c r="E67" s="22">
        <f>'1_Raw_Data'!E67*L67</f>
        <v>97607.681450999997</v>
      </c>
      <c r="F67" s="22">
        <f>IF('1_Raw_Data'!F67="","MISSING",'1_Raw_Data'!F67*L67)</f>
        <v>97607.681450999997</v>
      </c>
      <c r="G67" t="str">
        <f>UPPER(SUBSTITUTE(SUBSTITUTE(VLOOKUP(A67,'1_Raw_Data'!$A:$J,7,0),"€","EUR"),"£","GBP"))</f>
        <v>EUR</v>
      </c>
      <c r="H67" t="str">
        <f>IFERROR(VLOOKUP(LOWER(VLOOKUP(A67,'1_Raw_Data'!$A:$J,8,0)),LookupSheet!$C:$D,2,0),IFERROR(VLOOKUP(LOWER(TEXT(VLOOKUP(A67,'1_Raw_Data'!$A:$J,8,0),"mmm-yy")),LookupSheet!$C:$D,2,0),VLOOKUP(A67,'1_Raw_Data'!$A:$J,8,0)))</f>
        <v>May-2024</v>
      </c>
      <c r="I67" t="str">
        <f>IFERROR(VLOOKUP(LOWER(VLOOKUP(A67,'1_Raw_Data'!$A:$J,9,0)),LookupSheet!$E:$F,2,0),VLOOKUP(A67,'1_Raw_Data'!$A:$J,9,0))</f>
        <v>Pending</v>
      </c>
      <c r="J67" t="str">
        <f>IFERROR(IF(VLOOKUP(A67,'1_Raw_Data'!$A:$J,10,FALSE)="","",VLOOKUP(A67,'1_Raw_Data'!$A:$J,10,FALSE)),"")</f>
        <v>Check with agency</v>
      </c>
      <c r="K67" t="str">
        <f t="shared" si="2"/>
        <v>Clean</v>
      </c>
      <c r="L67">
        <f>IF(G67="GBP",1,VLOOKUP(H67,FX_Rates!$A:$B,2,0))</f>
        <v>0.85329999999999995</v>
      </c>
    </row>
    <row r="68" spans="1:12">
      <c r="A68">
        <f>IFERROR(INDEX('1_Raw_Data'!$A:$A,MATCH(ROW()-1,'1_Raw_Data'!$M:$M,0)),"")</f>
        <v>67</v>
      </c>
      <c r="B68" t="str">
        <f>IFERROR(VLOOKUP(LOWER(VLOOKUP(A68,'1_Raw_Data'!$A:$J,2,0)),LookupSheet!$A:$B,2,0),"MISSING")</f>
        <v>France</v>
      </c>
      <c r="C68" t="str">
        <f>VLOOKUP(A68,'1_Raw_Data'!$A:$J,3,0)</f>
        <v>MediaCom</v>
      </c>
      <c r="D68" t="str">
        <f>VLOOKUP(A68,'1_Raw_Data'!$A:$J,4,0)</f>
        <v>Always-On Display</v>
      </c>
      <c r="E68" s="22">
        <f>'1_Raw_Data'!E68*L68</f>
        <v>68607.226857000001</v>
      </c>
      <c r="F68" s="22">
        <f>IF('1_Raw_Data'!F68="","MISSING",'1_Raw_Data'!F68*L68)</f>
        <v>72423.352941000005</v>
      </c>
      <c r="G68" t="str">
        <f>UPPER(SUBSTITUTE(SUBSTITUTE(VLOOKUP(A68,'1_Raw_Data'!$A:$J,7,0),"€","EUR"),"£","GBP"))</f>
        <v>EUR</v>
      </c>
      <c r="H68" t="str">
        <f>IFERROR(VLOOKUP(LOWER(VLOOKUP(A68,'1_Raw_Data'!$A:$J,8,0)),LookupSheet!$C:$D,2,0),IFERROR(VLOOKUP(LOWER(TEXT(VLOOKUP(A68,'1_Raw_Data'!$A:$J,8,0),"mmm-yy")),LookupSheet!$C:$D,2,0),VLOOKUP(A68,'1_Raw_Data'!$A:$J,8,0)))</f>
        <v>Apr-2024</v>
      </c>
      <c r="I68" t="str">
        <f>IFERROR(VLOOKUP(LOWER(VLOOKUP(A68,'1_Raw_Data'!$A:$J,9,0)),LookupSheet!$E:$F,2,0),VLOOKUP(A68,'1_Raw_Data'!$A:$J,9,0))</f>
        <v>Confirmed</v>
      </c>
      <c r="J68" t="str">
        <f>IFERROR(IF(VLOOKUP(A68,'1_Raw_Data'!$A:$J,10,FALSE)="","",VLOOKUP(A68,'1_Raw_Data'!$A:$J,10,FALSE)),"")</f>
        <v>Manual entry</v>
      </c>
      <c r="K68" t="str">
        <f t="shared" si="2"/>
        <v>Clean</v>
      </c>
      <c r="L68">
        <f>IF(G68="GBP",1,VLOOKUP(H68,FX_Rates!$A:$B,2,0))</f>
        <v>0.86009999999999998</v>
      </c>
    </row>
    <row r="69" spans="1:12">
      <c r="A69">
        <f>IFERROR(INDEX('1_Raw_Data'!$A:$A,MATCH(ROW()-1,'1_Raw_Data'!$M:$M,0)),"")</f>
        <v>68</v>
      </c>
      <c r="B69" t="str">
        <f>IFERROR(VLOOKUP(LOWER(VLOOKUP(A69,'1_Raw_Data'!$A:$J,2,0)),LookupSheet!$A:$B,2,0),"MISSING")</f>
        <v>UK</v>
      </c>
      <c r="C69" t="str">
        <f>VLOOKUP(A69,'1_Raw_Data'!$A:$J,3,0)</f>
        <v>Omnicom Media Group</v>
      </c>
      <c r="D69" t="str">
        <f>VLOOKUP(A69,'1_Raw_Data'!$A:$J,4,0)</f>
        <v>Always-On Display</v>
      </c>
      <c r="E69" s="22">
        <f>'1_Raw_Data'!E69*L69</f>
        <v>16726.657910999998</v>
      </c>
      <c r="F69" s="22">
        <f>IF('1_Raw_Data'!F69="","MISSING",'1_Raw_Data'!F69*L69)</f>
        <v>16048.854659999999</v>
      </c>
      <c r="G69" t="str">
        <f>UPPER(SUBSTITUTE(SUBSTITUTE(VLOOKUP(A69,'1_Raw_Data'!$A:$J,7,0),"€","EUR"),"£","GBP"))</f>
        <v>EUR</v>
      </c>
      <c r="H69" t="str">
        <f>IFERROR(VLOOKUP(LOWER(VLOOKUP(A69,'1_Raw_Data'!$A:$J,8,0)),LookupSheet!$C:$D,2,0),IFERROR(VLOOKUP(LOWER(TEXT(VLOOKUP(A69,'1_Raw_Data'!$A:$J,8,0),"mmm-yy")),LookupSheet!$C:$D,2,0),VLOOKUP(A69,'1_Raw_Data'!$A:$J,8,0)))</f>
        <v>Jan-2024</v>
      </c>
      <c r="I69" t="str">
        <f>IFERROR(VLOOKUP(LOWER(VLOOKUP(A69,'1_Raw_Data'!$A:$J,9,0)),LookupSheet!$E:$F,2,0),VLOOKUP(A69,'1_Raw_Data'!$A:$J,9,0))</f>
        <v>Paid</v>
      </c>
      <c r="J69" t="str">
        <f>IFERROR(IF(VLOOKUP(A69,'1_Raw_Data'!$A:$J,10,FALSE)="","",VLOOKUP(A69,'1_Raw_Data'!$A:$J,10,FALSE)),"")</f>
        <v/>
      </c>
      <c r="K69" t="str">
        <f t="shared" si="2"/>
        <v>Clean</v>
      </c>
      <c r="L69">
        <f>IF(G69="GBP",1,VLOOKUP(H69,FX_Rates!$A:$B,2,0))</f>
        <v>0.85709999999999997</v>
      </c>
    </row>
    <row r="70" spans="1:12">
      <c r="A70">
        <f>IFERROR(INDEX('1_Raw_Data'!$A:$A,MATCH(ROW()-1,'1_Raw_Data'!$M:$M,0)),"")</f>
        <v>69</v>
      </c>
      <c r="B70" t="str">
        <f>IFERROR(VLOOKUP(LOWER(VLOOKUP(A70,'1_Raw_Data'!$A:$J,2,0)),LookupSheet!$A:$B,2,0),"MISSING")</f>
        <v>France</v>
      </c>
      <c r="C70" t="str">
        <f>VLOOKUP(A70,'1_Raw_Data'!$A:$J,3,0)</f>
        <v>Omnicom Media Group</v>
      </c>
      <c r="D70" t="str">
        <f>VLOOKUP(A70,'1_Raw_Data'!$A:$J,4,0)</f>
        <v>Influencer Collab Feb</v>
      </c>
      <c r="E70" s="22">
        <f>'1_Raw_Data'!E70*L70</f>
        <v>99277.464449999999</v>
      </c>
      <c r="F70" s="22">
        <f>IF('1_Raw_Data'!F70="","MISSING",'1_Raw_Data'!F70*L70)</f>
        <v>96740.474162999992</v>
      </c>
      <c r="G70" t="str">
        <f>UPPER(SUBSTITUTE(SUBSTITUTE(VLOOKUP(A70,'1_Raw_Data'!$A:$J,7,0),"€","EUR"),"£","GBP"))</f>
        <v>EUR</v>
      </c>
      <c r="H70" t="str">
        <f>IFERROR(VLOOKUP(LOWER(VLOOKUP(A70,'1_Raw_Data'!$A:$J,8,0)),LookupSheet!$C:$D,2,0),IFERROR(VLOOKUP(LOWER(TEXT(VLOOKUP(A70,'1_Raw_Data'!$A:$J,8,0),"mmm-yy")),LookupSheet!$C:$D,2,0),VLOOKUP(A70,'1_Raw_Data'!$A:$J,8,0)))</f>
        <v>Jan-2024</v>
      </c>
      <c r="I70" t="str">
        <f>IFERROR(VLOOKUP(LOWER(VLOOKUP(A70,'1_Raw_Data'!$A:$J,9,0)),LookupSheet!$E:$F,2,0),VLOOKUP(A70,'1_Raw_Data'!$A:$J,9,0))</f>
        <v>Under Review</v>
      </c>
      <c r="J70" t="str">
        <f>IFERROR(IF(VLOOKUP(A70,'1_Raw_Data'!$A:$J,10,FALSE)="","",VLOOKUP(A70,'1_Raw_Data'!$A:$J,10,FALSE)),"")</f>
        <v>Original lost</v>
      </c>
      <c r="K70" t="str">
        <f t="shared" si="2"/>
        <v>Clean</v>
      </c>
      <c r="L70">
        <f>IF(G70="GBP",1,VLOOKUP(H70,FX_Rates!$A:$B,2,0))</f>
        <v>0.85709999999999997</v>
      </c>
    </row>
    <row r="71" spans="1:12">
      <c r="A71">
        <f>IFERROR(INDEX('1_Raw_Data'!$A:$A,MATCH(ROW()-1,'1_Raw_Data'!$M:$M,0)),"")</f>
        <v>70</v>
      </c>
      <c r="B71" t="str">
        <f>IFERROR(VLOOKUP(LOWER(VLOOKUP(A71,'1_Raw_Data'!$A:$J,2,0)),LookupSheet!$A:$B,2,0),"MISSING")</f>
        <v>Italy</v>
      </c>
      <c r="C71" t="str">
        <f>VLOOKUP(A71,'1_Raw_Data'!$A:$J,3,0)</f>
        <v>Havas Media</v>
      </c>
      <c r="D71" t="str">
        <f>VLOOKUP(A71,'1_Raw_Data'!$A:$J,4,0)</f>
        <v>Subscriber Acquisition - Spring</v>
      </c>
      <c r="E71" s="22">
        <f>'1_Raw_Data'!E71*L71</f>
        <v>82894.94</v>
      </c>
      <c r="F71" s="22">
        <f>IF('1_Raw_Data'!F71="","MISSING",'1_Raw_Data'!F71*L71)</f>
        <v>86025.53</v>
      </c>
      <c r="G71" t="str">
        <f>UPPER(SUBSTITUTE(SUBSTITUTE(VLOOKUP(A71,'1_Raw_Data'!$A:$J,7,0),"€","EUR"),"£","GBP"))</f>
        <v>GBP</v>
      </c>
      <c r="H71" t="str">
        <f>IFERROR(VLOOKUP(LOWER(VLOOKUP(A71,'1_Raw_Data'!$A:$J,8,0)),LookupSheet!$C:$D,2,0),IFERROR(VLOOKUP(LOWER(TEXT(VLOOKUP(A71,'1_Raw_Data'!$A:$J,8,0),"mmm-yy")),LookupSheet!$C:$D,2,0),VLOOKUP(A71,'1_Raw_Data'!$A:$J,8,0)))</f>
        <v>Jun-2024</v>
      </c>
      <c r="I71" t="str">
        <f>IFERROR(VLOOKUP(LOWER(VLOOKUP(A71,'1_Raw_Data'!$A:$J,9,0)),LookupSheet!$E:$F,2,0),VLOOKUP(A71,'1_Raw_Data'!$A:$J,9,0))</f>
        <v>Confirmed</v>
      </c>
      <c r="J71" t="str">
        <f>IFERROR(IF(VLOOKUP(A71,'1_Raw_Data'!$A:$J,10,FALSE)="","",VLOOKUP(A71,'1_Raw_Data'!$A:$J,10,FALSE)),"")</f>
        <v>Amended</v>
      </c>
      <c r="K71" t="str">
        <f t="shared" si="2"/>
        <v>Clean</v>
      </c>
      <c r="L71">
        <f>IF(G71="GBP",1,VLOOKUP(H71,FX_Rates!$A:$B,2,0))</f>
        <v>1</v>
      </c>
    </row>
    <row r="72" spans="1:12">
      <c r="A72">
        <f>IFERROR(INDEX('1_Raw_Data'!$A:$A,MATCH(ROW()-1,'1_Raw_Data'!$M:$M,0)),"")</f>
        <v>71</v>
      </c>
      <c r="B72" t="str">
        <f>IFERROR(VLOOKUP(LOWER(VLOOKUP(A72,'1_Raw_Data'!$A:$J,2,0)),LookupSheet!$A:$B,2,0),"MISSING")</f>
        <v>Spain</v>
      </c>
      <c r="C72" t="str">
        <f>VLOOKUP(A72,'1_Raw_Data'!$A:$J,3,0)</f>
        <v>Hearts &amp; Science</v>
      </c>
      <c r="D72" t="str">
        <f>VLOOKUP(A72,'1_Raw_Data'!$A:$J,4,0)</f>
        <v>Performance Max Q1</v>
      </c>
      <c r="E72" s="22">
        <f>'1_Raw_Data'!E72*L72</f>
        <v>83689.789999999994</v>
      </c>
      <c r="F72" s="22">
        <f>IF('1_Raw_Data'!F72="","MISSING",'1_Raw_Data'!F72*L72)</f>
        <v>89191.21</v>
      </c>
      <c r="G72" t="str">
        <f>UPPER(SUBSTITUTE(SUBSTITUTE(VLOOKUP(A72,'1_Raw_Data'!$A:$J,7,0),"€","EUR"),"£","GBP"))</f>
        <v>GBP</v>
      </c>
      <c r="H72" t="str">
        <f>IFERROR(VLOOKUP(LOWER(VLOOKUP(A72,'1_Raw_Data'!$A:$J,8,0)),LookupSheet!$C:$D,2,0),IFERROR(VLOOKUP(LOWER(TEXT(VLOOKUP(A72,'1_Raw_Data'!$A:$J,8,0),"mmm-yy")),LookupSheet!$C:$D,2,0),VLOOKUP(A72,'1_Raw_Data'!$A:$J,8,0)))</f>
        <v>Mar-2024</v>
      </c>
      <c r="I72" t="str">
        <f>IFERROR(VLOOKUP(LOWER(VLOOKUP(A72,'1_Raw_Data'!$A:$J,9,0)),LookupSheet!$E:$F,2,0),VLOOKUP(A72,'1_Raw_Data'!$A:$J,9,0))</f>
        <v>Paid</v>
      </c>
      <c r="J72" t="str">
        <f>IFERROR(IF(VLOOKUP(A72,'1_Raw_Data'!$A:$J,10,FALSE)="","",VLOOKUP(A72,'1_Raw_Data'!$A:$J,10,FALSE)),"")</f>
        <v>Original lost</v>
      </c>
      <c r="K72" t="str">
        <f t="shared" si="2"/>
        <v>Clean</v>
      </c>
      <c r="L72">
        <f>IF(G72="GBP",1,VLOOKUP(H72,FX_Rates!$A:$B,2,0))</f>
        <v>1</v>
      </c>
    </row>
    <row r="73" spans="1:12">
      <c r="A73">
        <f>IFERROR(INDEX('1_Raw_Data'!$A:$A,MATCH(ROW()-1,'1_Raw_Data'!$M:$M,0)),"")</f>
        <v>72</v>
      </c>
      <c r="B73" t="str">
        <f>IFERROR(VLOOKUP(LOWER(VLOOKUP(A73,'1_Raw_Data'!$A:$J,2,0)),LookupSheet!$A:$B,2,0),"MISSING")</f>
        <v>Netherlands</v>
      </c>
      <c r="C73" t="str">
        <f>VLOOKUP(A73,'1_Raw_Data'!$A:$J,3,0)</f>
        <v>Hearts &amp; Science</v>
      </c>
      <c r="D73" t="str">
        <f>VLOOKUP(A73,'1_Raw_Data'!$A:$J,4,0)</f>
        <v>Premium Tier Push</v>
      </c>
      <c r="E73" s="22">
        <f>'1_Raw_Data'!E73*L73</f>
        <v>54156.283478999998</v>
      </c>
      <c r="F73" s="22">
        <f>IF('1_Raw_Data'!F73="","MISSING",'1_Raw_Data'!F73*L73)</f>
        <v>54156.283478999998</v>
      </c>
      <c r="G73" t="str">
        <f>UPPER(SUBSTITUTE(SUBSTITUTE(VLOOKUP(A73,'1_Raw_Data'!$A:$J,7,0),"€","EUR"),"£","GBP"))</f>
        <v>EUR</v>
      </c>
      <c r="H73" t="str">
        <f>IFERROR(VLOOKUP(LOWER(VLOOKUP(A73,'1_Raw_Data'!$A:$J,8,0)),LookupSheet!$C:$D,2,0),IFERROR(VLOOKUP(LOWER(TEXT(VLOOKUP(A73,'1_Raw_Data'!$A:$J,8,0),"mmm-yy")),LookupSheet!$C:$D,2,0),VLOOKUP(A73,'1_Raw_Data'!$A:$J,8,0)))</f>
        <v>Jan-2024</v>
      </c>
      <c r="I73" t="str">
        <f>IFERROR(VLOOKUP(LOWER(VLOOKUP(A73,'1_Raw_Data'!$A:$J,9,0)),LookupSheet!$E:$F,2,0),VLOOKUP(A73,'1_Raw_Data'!$A:$J,9,0))</f>
        <v>Pending</v>
      </c>
      <c r="J73" t="str">
        <f>IFERROR(IF(VLOOKUP(A73,'1_Raw_Data'!$A:$J,10,FALSE)="","",VLOOKUP(A73,'1_Raw_Data'!$A:$J,10,FALSE)),"")</f>
        <v>Re-sent</v>
      </c>
      <c r="K73" t="str">
        <f t="shared" si="2"/>
        <v>Clean</v>
      </c>
      <c r="L73">
        <f>IF(G73="GBP",1,VLOOKUP(H73,FX_Rates!$A:$B,2,0))</f>
        <v>0.85709999999999997</v>
      </c>
    </row>
    <row r="74" spans="1:12">
      <c r="A74">
        <f>IFERROR(INDEX('1_Raw_Data'!$A:$A,MATCH(ROW()-1,'1_Raw_Data'!$M:$M,0)),"")</f>
        <v>73</v>
      </c>
      <c r="B74" t="str">
        <f>IFERROR(VLOOKUP(LOWER(VLOOKUP(A74,'1_Raw_Data'!$A:$J,2,0)),LookupSheet!$A:$B,2,0),"MISSING")</f>
        <v>Germany</v>
      </c>
      <c r="C74" t="str">
        <f>VLOOKUP(A74,'1_Raw_Data'!$A:$J,3,0)</f>
        <v>Hearts &amp; Science</v>
      </c>
      <c r="D74" t="str">
        <f>VLOOKUP(A74,'1_Raw_Data'!$A:$J,4,0)</f>
        <v>Always-On Display</v>
      </c>
      <c r="E74" s="22">
        <f>'1_Raw_Data'!E74*L74</f>
        <v>22593.98</v>
      </c>
      <c r="F74" s="22">
        <f>IF('1_Raw_Data'!F74="","MISSING",'1_Raw_Data'!F74*L74)</f>
        <v>22593.98</v>
      </c>
      <c r="G74" t="str">
        <f>UPPER(SUBSTITUTE(SUBSTITUTE(VLOOKUP(A74,'1_Raw_Data'!$A:$J,7,0),"€","EUR"),"£","GBP"))</f>
        <v>GBP</v>
      </c>
      <c r="H74" t="str">
        <f>IFERROR(VLOOKUP(LOWER(VLOOKUP(A74,'1_Raw_Data'!$A:$J,8,0)),LookupSheet!$C:$D,2,0),IFERROR(VLOOKUP(LOWER(TEXT(VLOOKUP(A74,'1_Raw_Data'!$A:$J,8,0),"mmm-yy")),LookupSheet!$C:$D,2,0),VLOOKUP(A74,'1_Raw_Data'!$A:$J,8,0)))</f>
        <v>Jun-2024</v>
      </c>
      <c r="I74" t="str">
        <f>IFERROR(VLOOKUP(LOWER(VLOOKUP(A74,'1_Raw_Data'!$A:$J,9,0)),LookupSheet!$E:$F,2,0),VLOOKUP(A74,'1_Raw_Data'!$A:$J,9,0))</f>
        <v>Under Review</v>
      </c>
      <c r="J74" t="str">
        <f>IFERROR(IF(VLOOKUP(A74,'1_Raw_Data'!$A:$J,10,FALSE)="","",VLOOKUP(A74,'1_Raw_Data'!$A:$J,10,FALSE)),"")</f>
        <v/>
      </c>
      <c r="K74" t="str">
        <f t="shared" si="2"/>
        <v>Clean</v>
      </c>
      <c r="L74">
        <f>IF(G74="GBP",1,VLOOKUP(H74,FX_Rates!$A:$B,2,0))</f>
        <v>1</v>
      </c>
    </row>
    <row r="75" spans="1:12">
      <c r="A75">
        <f>IFERROR(INDEX('1_Raw_Data'!$A:$A,MATCH(ROW()-1,'1_Raw_Data'!$M:$M,0)),"")</f>
        <v>74</v>
      </c>
      <c r="B75" t="str">
        <f>IFERROR(VLOOKUP(LOWER(VLOOKUP(A75,'1_Raw_Data'!$A:$J,2,0)),LookupSheet!$A:$B,2,0),"MISSING")</f>
        <v>Netherlands</v>
      </c>
      <c r="C75" t="str">
        <f>VLOOKUP(A75,'1_Raw_Data'!$A:$J,3,0)</f>
        <v>Dentsu</v>
      </c>
      <c r="D75" t="str">
        <f>VLOOKUP(A75,'1_Raw_Data'!$A:$J,4,0)</f>
        <v>Regional Launch NL</v>
      </c>
      <c r="E75" s="22">
        <f>'1_Raw_Data'!E75*L75</f>
        <v>85615.294620000001</v>
      </c>
      <c r="F75" s="22">
        <f>IF('1_Raw_Data'!F75="","MISSING",'1_Raw_Data'!F75*L75)</f>
        <v>80697.665610000011</v>
      </c>
      <c r="G75" t="str">
        <f>UPPER(SUBSTITUTE(SUBSTITUTE(VLOOKUP(A75,'1_Raw_Data'!$A:$J,7,0),"€","EUR"),"£","GBP"))</f>
        <v>EUR</v>
      </c>
      <c r="H75" t="str">
        <f>IFERROR(VLOOKUP(LOWER(VLOOKUP(A75,'1_Raw_Data'!$A:$J,8,0)),LookupSheet!$C:$D,2,0),IFERROR(VLOOKUP(LOWER(TEXT(VLOOKUP(A75,'1_Raw_Data'!$A:$J,8,0),"mmm-yy")),LookupSheet!$C:$D,2,0),VLOOKUP(A75,'1_Raw_Data'!$A:$J,8,0)))</f>
        <v>Mar-2024</v>
      </c>
      <c r="I75" t="str">
        <f>IFERROR(VLOOKUP(LOWER(VLOOKUP(A75,'1_Raw_Data'!$A:$J,9,0)),LookupSheet!$E:$F,2,0),VLOOKUP(A75,'1_Raw_Data'!$A:$J,9,0))</f>
        <v>Disputed</v>
      </c>
      <c r="J75" t="str">
        <f>IFERROR(IF(VLOOKUP(A75,'1_Raw_Data'!$A:$J,10,FALSE)="","",VLOOKUP(A75,'1_Raw_Data'!$A:$J,10,FALSE)),"")</f>
        <v/>
      </c>
      <c r="K75" t="str">
        <f t="shared" si="2"/>
        <v>Clean</v>
      </c>
      <c r="L75">
        <f>IF(G75="GBP",1,VLOOKUP(H75,FX_Rates!$A:$B,2,0))</f>
        <v>0.85650000000000004</v>
      </c>
    </row>
    <row r="76" spans="1:12">
      <c r="A76">
        <f>IFERROR(INDEX('1_Raw_Data'!$A:$A,MATCH(ROW()-1,'1_Raw_Data'!$M:$M,0)),"")</f>
        <v>75</v>
      </c>
      <c r="B76" t="str">
        <f>IFERROR(VLOOKUP(LOWER(VLOOKUP(A76,'1_Raw_Data'!$A:$J,2,0)),LookupSheet!$A:$B,2,0),"MISSING")</f>
        <v>Netherlands</v>
      </c>
      <c r="C76" t="str">
        <f>VLOOKUP(A76,'1_Raw_Data'!$A:$J,3,0)</f>
        <v>Dentsu</v>
      </c>
      <c r="D76" t="str">
        <f>VLOOKUP(A76,'1_Raw_Data'!$A:$J,4,0)</f>
        <v>Subscriber Acquisition - Spring</v>
      </c>
      <c r="E76" s="22">
        <f>'1_Raw_Data'!E76*L76</f>
        <v>75188.149999999994</v>
      </c>
      <c r="F76" s="22">
        <f>IF('1_Raw_Data'!F76="","MISSING",'1_Raw_Data'!F76*L76)</f>
        <v>75188.149999999994</v>
      </c>
      <c r="G76" t="str">
        <f>UPPER(SUBSTITUTE(SUBSTITUTE(VLOOKUP(A76,'1_Raw_Data'!$A:$J,7,0),"€","EUR"),"£","GBP"))</f>
        <v>GBP</v>
      </c>
      <c r="H76" t="str">
        <f>IFERROR(VLOOKUP(LOWER(VLOOKUP(A76,'1_Raw_Data'!$A:$J,8,0)),LookupSheet!$C:$D,2,0),IFERROR(VLOOKUP(LOWER(TEXT(VLOOKUP(A76,'1_Raw_Data'!$A:$J,8,0),"mmm-yy")),LookupSheet!$C:$D,2,0),VLOOKUP(A76,'1_Raw_Data'!$A:$J,8,0)))</f>
        <v>Mar-2024</v>
      </c>
      <c r="I76" t="str">
        <f>IFERROR(VLOOKUP(LOWER(VLOOKUP(A76,'1_Raw_Data'!$A:$J,9,0)),LookupSheet!$E:$F,2,0),VLOOKUP(A76,'1_Raw_Data'!$A:$J,9,0))</f>
        <v>Disputed</v>
      </c>
      <c r="J76" t="str">
        <f>IFERROR(IF(VLOOKUP(A76,'1_Raw_Data'!$A:$J,10,FALSE)="","",VLOOKUP(A76,'1_Raw_Data'!$A:$J,10,FALSE)),"")</f>
        <v>Re-sent</v>
      </c>
      <c r="K76" t="str">
        <f t="shared" si="2"/>
        <v>Clean</v>
      </c>
      <c r="L76">
        <f>IF(G76="GBP",1,VLOOKUP(H76,FX_Rates!$A:$B,2,0))</f>
        <v>1</v>
      </c>
    </row>
    <row r="77" spans="1:12">
      <c r="A77">
        <f>IFERROR(INDEX('1_Raw_Data'!$A:$A,MATCH(ROW()-1,'1_Raw_Data'!$M:$M,0)),"")</f>
        <v>76</v>
      </c>
      <c r="B77" t="str">
        <f>IFERROR(VLOOKUP(LOWER(VLOOKUP(A77,'1_Raw_Data'!$A:$J,2,0)),LookupSheet!$A:$B,2,0),"MISSING")</f>
        <v>Italy</v>
      </c>
      <c r="C77" t="str">
        <f>VLOOKUP(A77,'1_Raw_Data'!$A:$J,3,0)</f>
        <v>GroupM</v>
      </c>
      <c r="D77" t="str">
        <f>VLOOKUP(A77,'1_Raw_Data'!$A:$J,4,0)</f>
        <v>Subscriber Acquisition - Spring</v>
      </c>
      <c r="E77" s="22">
        <f>'1_Raw_Data'!E77*L77</f>
        <v>83215.294271999999</v>
      </c>
      <c r="F77" s="22">
        <f>IF('1_Raw_Data'!F77="","MISSING",'1_Raw_Data'!F77*L77)</f>
        <v>83215.294271999999</v>
      </c>
      <c r="G77" t="str">
        <f>UPPER(SUBSTITUTE(SUBSTITUTE(VLOOKUP(A77,'1_Raw_Data'!$A:$J,7,0),"€","EUR"),"£","GBP"))</f>
        <v>EUR</v>
      </c>
      <c r="H77" t="str">
        <f>IFERROR(VLOOKUP(LOWER(VLOOKUP(A77,'1_Raw_Data'!$A:$J,8,0)),LookupSheet!$C:$D,2,0),IFERROR(VLOOKUP(LOWER(TEXT(VLOOKUP(A77,'1_Raw_Data'!$A:$J,8,0),"mmm-yy")),LookupSheet!$C:$D,2,0),VLOOKUP(A77,'1_Raw_Data'!$A:$J,8,0)))</f>
        <v>Apr-2024</v>
      </c>
      <c r="I77" t="str">
        <f>IFERROR(VLOOKUP(LOWER(VLOOKUP(A77,'1_Raw_Data'!$A:$J,9,0)),LookupSheet!$E:$F,2,0),VLOOKUP(A77,'1_Raw_Data'!$A:$J,9,0))</f>
        <v>Paid</v>
      </c>
      <c r="J77" t="str">
        <f>IFERROR(IF(VLOOKUP(A77,'1_Raw_Data'!$A:$J,10,FALSE)="","",VLOOKUP(A77,'1_Raw_Data'!$A:$J,10,FALSE)),"")</f>
        <v>Check with agency</v>
      </c>
      <c r="K77" t="str">
        <f t="shared" si="2"/>
        <v>Clean</v>
      </c>
      <c r="L77">
        <f>IF(G77="GBP",1,VLOOKUP(H77,FX_Rates!$A:$B,2,0))</f>
        <v>0.86009999999999998</v>
      </c>
    </row>
    <row r="78" spans="1:12">
      <c r="A78">
        <f>IFERROR(INDEX('1_Raw_Data'!$A:$A,MATCH(ROW()-1,'1_Raw_Data'!$M:$M,0)),"")</f>
        <v>77</v>
      </c>
      <c r="B78" t="str">
        <f>IFERROR(VLOOKUP(LOWER(VLOOKUP(A78,'1_Raw_Data'!$A:$J,2,0)),LookupSheet!$A:$B,2,0),"MISSING")</f>
        <v>Netherlands</v>
      </c>
      <c r="C78" t="str">
        <f>VLOOKUP(A78,'1_Raw_Data'!$A:$J,3,0)</f>
        <v>Mindshare</v>
      </c>
      <c r="D78" t="str">
        <f>VLOOKUP(A78,'1_Raw_Data'!$A:$J,4,0)</f>
        <v>EMEA Upfront Deal</v>
      </c>
      <c r="E78" s="22">
        <f>'1_Raw_Data'!E78*L78</f>
        <v>32755.95</v>
      </c>
      <c r="F78" s="22">
        <f>IF('1_Raw_Data'!F78="","MISSING",'1_Raw_Data'!F78*L78)</f>
        <v>32755.95</v>
      </c>
      <c r="G78" t="str">
        <f>UPPER(SUBSTITUTE(SUBSTITUTE(VLOOKUP(A78,'1_Raw_Data'!$A:$J,7,0),"€","EUR"),"£","GBP"))</f>
        <v>GBP</v>
      </c>
      <c r="H78" t="str">
        <f>IFERROR(VLOOKUP(LOWER(VLOOKUP(A78,'1_Raw_Data'!$A:$J,8,0)),LookupSheet!$C:$D,2,0),IFERROR(VLOOKUP(LOWER(TEXT(VLOOKUP(A78,'1_Raw_Data'!$A:$J,8,0),"mmm-yy")),LookupSheet!$C:$D,2,0),VLOOKUP(A78,'1_Raw_Data'!$A:$J,8,0)))</f>
        <v>May-2024</v>
      </c>
      <c r="I78" t="str">
        <f>IFERROR(VLOOKUP(LOWER(VLOOKUP(A78,'1_Raw_Data'!$A:$J,9,0)),LookupSheet!$E:$F,2,0),VLOOKUP(A78,'1_Raw_Data'!$A:$J,9,0))</f>
        <v>Pending</v>
      </c>
      <c r="J78" t="str">
        <f>IFERROR(IF(VLOOKUP(A78,'1_Raw_Data'!$A:$J,10,FALSE)="","",VLOOKUP(A78,'1_Raw_Data'!$A:$J,10,FALSE)),"")</f>
        <v>Late invoice</v>
      </c>
      <c r="K78" t="str">
        <f t="shared" si="2"/>
        <v>Clean</v>
      </c>
      <c r="L78">
        <f>IF(G78="GBP",1,VLOOKUP(H78,FX_Rates!$A:$B,2,0))</f>
        <v>1</v>
      </c>
    </row>
    <row r="79" spans="1:12">
      <c r="A79">
        <f>IFERROR(INDEX('1_Raw_Data'!$A:$A,MATCH(ROW()-1,'1_Raw_Data'!$M:$M,0)),"")</f>
        <v>78</v>
      </c>
      <c r="B79" t="str">
        <f>IFERROR(VLOOKUP(LOWER(VLOOKUP(A79,'1_Raw_Data'!$A:$J,2,0)),LookupSheet!$A:$B,2,0),"MISSING")</f>
        <v>Germany</v>
      </c>
      <c r="C79" t="str">
        <f>VLOOKUP(A79,'1_Raw_Data'!$A:$J,3,0)</f>
        <v>Dentsu</v>
      </c>
      <c r="D79" t="str">
        <f>VLOOKUP(A79,'1_Raw_Data'!$A:$J,4,0)</f>
        <v>Subscriber Acquisition - Spring</v>
      </c>
      <c r="E79" s="22">
        <f>'1_Raw_Data'!E79*L79</f>
        <v>38837.089999999997</v>
      </c>
      <c r="F79" s="22">
        <f>IF('1_Raw_Data'!F79="","MISSING",'1_Raw_Data'!F79*L79)</f>
        <v>38837.089999999997</v>
      </c>
      <c r="G79" t="str">
        <f>UPPER(SUBSTITUTE(SUBSTITUTE(VLOOKUP(A79,'1_Raw_Data'!$A:$J,7,0),"€","EUR"),"£","GBP"))</f>
        <v>GBP</v>
      </c>
      <c r="H79" t="str">
        <f>IFERROR(VLOOKUP(LOWER(VLOOKUP(A79,'1_Raw_Data'!$A:$J,8,0)),LookupSheet!$C:$D,2,0),IFERROR(VLOOKUP(LOWER(TEXT(VLOOKUP(A79,'1_Raw_Data'!$A:$J,8,0),"mmm-yy")),LookupSheet!$C:$D,2,0),VLOOKUP(A79,'1_Raw_Data'!$A:$J,8,0)))</f>
        <v>Feb-2024</v>
      </c>
      <c r="I79" t="str">
        <f>IFERROR(VLOOKUP(LOWER(VLOOKUP(A79,'1_Raw_Data'!$A:$J,9,0)),LookupSheet!$E:$F,2,0),VLOOKUP(A79,'1_Raw_Data'!$A:$J,9,0))</f>
        <v>Pending</v>
      </c>
      <c r="J79" t="str">
        <f>IFERROR(IF(VLOOKUP(A79,'1_Raw_Data'!$A:$J,10,FALSE)="","",VLOOKUP(A79,'1_Raw_Data'!$A:$J,10,FALSE)),"")</f>
        <v/>
      </c>
      <c r="K79" t="str">
        <f t="shared" si="2"/>
        <v>Clean</v>
      </c>
      <c r="L79">
        <f>IF(G79="GBP",1,VLOOKUP(H79,FX_Rates!$A:$B,2,0))</f>
        <v>1</v>
      </c>
    </row>
    <row r="80" spans="1:12">
      <c r="A80">
        <f>IFERROR(INDEX('1_Raw_Data'!$A:$A,MATCH(ROW()-1,'1_Raw_Data'!$M:$M,0)),"")</f>
        <v>79</v>
      </c>
      <c r="B80" t="str">
        <f>IFERROR(VLOOKUP(LOWER(VLOOKUP(A80,'1_Raw_Data'!$A:$J,2,0)),LookupSheet!$A:$B,2,0),"MISSING")</f>
        <v>Netherlands</v>
      </c>
      <c r="C80" t="str">
        <f>VLOOKUP(A80,'1_Raw_Data'!$A:$J,3,0)</f>
        <v>Omnicom Media Group</v>
      </c>
      <c r="D80" t="str">
        <f>VLOOKUP(A80,'1_Raw_Data'!$A:$J,4,0)</f>
        <v>Performance Max Q1</v>
      </c>
      <c r="E80" s="22">
        <f>'1_Raw_Data'!E80*L80</f>
        <v>38141.743650000004</v>
      </c>
      <c r="F80" s="22">
        <f>IF('1_Raw_Data'!F80="","MISSING",'1_Raw_Data'!F80*L80)</f>
        <v>39992.657280000007</v>
      </c>
      <c r="G80" t="str">
        <f>UPPER(SUBSTITUTE(SUBSTITUTE(VLOOKUP(A80,'1_Raw_Data'!$A:$J,7,0),"€","EUR"),"£","GBP"))</f>
        <v>EUR</v>
      </c>
      <c r="H80" t="str">
        <f>IFERROR(VLOOKUP(LOWER(VLOOKUP(A80,'1_Raw_Data'!$A:$J,8,0)),LookupSheet!$C:$D,2,0),IFERROR(VLOOKUP(LOWER(TEXT(VLOOKUP(A80,'1_Raw_Data'!$A:$J,8,0),"mmm-yy")),LookupSheet!$C:$D,2,0),VLOOKUP(A80,'1_Raw_Data'!$A:$J,8,0)))</f>
        <v>Mar-2024</v>
      </c>
      <c r="I80" t="str">
        <f>IFERROR(VLOOKUP(LOWER(VLOOKUP(A80,'1_Raw_Data'!$A:$J,9,0)),LookupSheet!$E:$F,2,0),VLOOKUP(A80,'1_Raw_Data'!$A:$J,9,0))</f>
        <v>Pending</v>
      </c>
      <c r="J80" t="str">
        <f>IFERROR(IF(VLOOKUP(A80,'1_Raw_Data'!$A:$J,10,FALSE)="","",VLOOKUP(A80,'1_Raw_Data'!$A:$J,10,FALSE)),"")</f>
        <v/>
      </c>
      <c r="K80" t="str">
        <f t="shared" si="2"/>
        <v>Clean</v>
      </c>
      <c r="L80">
        <f>IF(G80="GBP",1,VLOOKUP(H80,FX_Rates!$A:$B,2,0))</f>
        <v>0.85650000000000004</v>
      </c>
    </row>
    <row r="81" spans="1:12">
      <c r="A81">
        <f>IFERROR(INDEX('1_Raw_Data'!$A:$A,MATCH(ROW()-1,'1_Raw_Data'!$M:$M,0)),"")</f>
        <v>80</v>
      </c>
      <c r="B81" t="str">
        <f>IFERROR(VLOOKUP(LOWER(VLOOKUP(A81,'1_Raw_Data'!$A:$J,2,0)),LookupSheet!$A:$B,2,0),"MISSING")</f>
        <v>Spain</v>
      </c>
      <c r="C81" t="str">
        <f>VLOOKUP(A81,'1_Raw_Data'!$A:$J,3,0)</f>
        <v>Publicis</v>
      </c>
      <c r="D81" t="str">
        <f>VLOOKUP(A81,'1_Raw_Data'!$A:$J,4,0)</f>
        <v>Agency Co-op Feb</v>
      </c>
      <c r="E81" s="22">
        <f>'1_Raw_Data'!E81*L81</f>
        <v>87947.7</v>
      </c>
      <c r="F81" s="22">
        <f>IF('1_Raw_Data'!F81="","MISSING",'1_Raw_Data'!F81*L81)</f>
        <v>87947.7</v>
      </c>
      <c r="G81" t="str">
        <f>UPPER(SUBSTITUTE(SUBSTITUTE(VLOOKUP(A81,'1_Raw_Data'!$A:$J,7,0),"€","EUR"),"£","GBP"))</f>
        <v>GBP</v>
      </c>
      <c r="H81" t="str">
        <f>IFERROR(VLOOKUP(LOWER(VLOOKUP(A81,'1_Raw_Data'!$A:$J,8,0)),LookupSheet!$C:$D,2,0),IFERROR(VLOOKUP(LOWER(TEXT(VLOOKUP(A81,'1_Raw_Data'!$A:$J,8,0),"mmm-yy")),LookupSheet!$C:$D,2,0),VLOOKUP(A81,'1_Raw_Data'!$A:$J,8,0)))</f>
        <v>Jun-2024</v>
      </c>
      <c r="I81" t="str">
        <f>IFERROR(VLOOKUP(LOWER(VLOOKUP(A81,'1_Raw_Data'!$A:$J,9,0)),LookupSheet!$E:$F,2,0),VLOOKUP(A81,'1_Raw_Data'!$A:$J,9,0))</f>
        <v>Pending</v>
      </c>
      <c r="J81" t="str">
        <f>IFERROR(IF(VLOOKUP(A81,'1_Raw_Data'!$A:$J,10,FALSE)="","",VLOOKUP(A81,'1_Raw_Data'!$A:$J,10,FALSE)),"")</f>
        <v/>
      </c>
      <c r="K81" t="str">
        <f t="shared" si="2"/>
        <v>Clean</v>
      </c>
      <c r="L81">
        <f>IF(G81="GBP",1,VLOOKUP(H81,FX_Rates!$A:$B,2,0))</f>
        <v>1</v>
      </c>
    </row>
    <row r="82" spans="1:12">
      <c r="A82">
        <f>IFERROR(INDEX('1_Raw_Data'!$A:$A,MATCH(ROW()-1,'1_Raw_Data'!$M:$M,0)),"")</f>
        <v>81</v>
      </c>
      <c r="B82" t="str">
        <f>IFERROR(VLOOKUP(LOWER(VLOOKUP(A82,'1_Raw_Data'!$A:$J,2,0)),LookupSheet!$A:$B,2,0),"MISSING")</f>
        <v>Sweden</v>
      </c>
      <c r="C82" t="str">
        <f>VLOOKUP(A82,'1_Raw_Data'!$A:$J,3,0)</f>
        <v>Hearts &amp; Science</v>
      </c>
      <c r="D82" t="str">
        <f>VLOOKUP(A82,'1_Raw_Data'!$A:$J,4,0)</f>
        <v>Subscriber Acquisition - Spring</v>
      </c>
      <c r="E82" s="22">
        <f>'1_Raw_Data'!E82*L82</f>
        <v>62617.421649000004</v>
      </c>
      <c r="F82" s="22">
        <f>IF('1_Raw_Data'!F82="","MISSING",'1_Raw_Data'!F82*L82)</f>
        <v>65859.456785999995</v>
      </c>
      <c r="G82" t="str">
        <f>UPPER(SUBSTITUTE(SUBSTITUTE(VLOOKUP(A82,'1_Raw_Data'!$A:$J,7,0),"€","EUR"),"£","GBP"))</f>
        <v>EUR</v>
      </c>
      <c r="H82" t="str">
        <f>IFERROR(VLOOKUP(LOWER(VLOOKUP(A82,'1_Raw_Data'!$A:$J,8,0)),LookupSheet!$C:$D,2,0),IFERROR(VLOOKUP(LOWER(TEXT(VLOOKUP(A82,'1_Raw_Data'!$A:$J,8,0),"mmm-yy")),LookupSheet!$C:$D,2,0),VLOOKUP(A82,'1_Raw_Data'!$A:$J,8,0)))</f>
        <v>Apr-2024</v>
      </c>
      <c r="I82" t="str">
        <f>IFERROR(VLOOKUP(LOWER(VLOOKUP(A82,'1_Raw_Data'!$A:$J,9,0)),LookupSheet!$E:$F,2,0),VLOOKUP(A82,'1_Raw_Data'!$A:$J,9,0))</f>
        <v>Confirmed</v>
      </c>
      <c r="J82" t="str">
        <f>IFERROR(IF(VLOOKUP(A82,'1_Raw_Data'!$A:$J,10,FALSE)="","",VLOOKUP(A82,'1_Raw_Data'!$A:$J,10,FALSE)),"")</f>
        <v/>
      </c>
      <c r="K82" t="str">
        <f t="shared" si="2"/>
        <v>Clean</v>
      </c>
      <c r="L82">
        <f>IF(G82="GBP",1,VLOOKUP(H82,FX_Rates!$A:$B,2,0))</f>
        <v>0.86009999999999998</v>
      </c>
    </row>
    <row r="83" spans="1:12">
      <c r="A83">
        <f>IFERROR(INDEX('1_Raw_Data'!$A:$A,MATCH(ROW()-1,'1_Raw_Data'!$M:$M,0)),"")</f>
        <v>82</v>
      </c>
      <c r="B83" t="str">
        <f>IFERROR(VLOOKUP(LOWER(VLOOKUP(A83,'1_Raw_Data'!$A:$J,2,0)),LookupSheet!$A:$B,2,0),"MISSING")</f>
        <v>Germany</v>
      </c>
      <c r="C83" t="str">
        <f>VLOOKUP(A83,'1_Raw_Data'!$A:$J,3,0)</f>
        <v>Hearts &amp; Science</v>
      </c>
      <c r="D83" t="str">
        <f>VLOOKUP(A83,'1_Raw_Data'!$A:$J,4,0)</f>
        <v>Subscriber Acquisition - Spring</v>
      </c>
      <c r="E83" s="22">
        <f>'1_Raw_Data'!E83*L83</f>
        <v>5680.0531259999998</v>
      </c>
      <c r="F83" s="22">
        <f>IF('1_Raw_Data'!F83="","MISSING",'1_Raw_Data'!F83*L83)</f>
        <v>5334.7189649999991</v>
      </c>
      <c r="G83" t="str">
        <f>UPPER(SUBSTITUTE(SUBSTITUTE(VLOOKUP(A83,'1_Raw_Data'!$A:$J,7,0),"€","EUR"),"£","GBP"))</f>
        <v>EUR</v>
      </c>
      <c r="H83" t="str">
        <f>IFERROR(VLOOKUP(LOWER(VLOOKUP(A83,'1_Raw_Data'!$A:$J,8,0)),LookupSheet!$C:$D,2,0),IFERROR(VLOOKUP(LOWER(TEXT(VLOOKUP(A83,'1_Raw_Data'!$A:$J,8,0),"mmm-yy")),LookupSheet!$C:$D,2,0),VLOOKUP(A83,'1_Raw_Data'!$A:$J,8,0)))</f>
        <v>Jan-2024</v>
      </c>
      <c r="I83" t="str">
        <f>IFERROR(VLOOKUP(LOWER(VLOOKUP(A83,'1_Raw_Data'!$A:$J,9,0)),LookupSheet!$E:$F,2,0),VLOOKUP(A83,'1_Raw_Data'!$A:$J,9,0))</f>
        <v>Confirmed</v>
      </c>
      <c r="J83" t="str">
        <f>IFERROR(IF(VLOOKUP(A83,'1_Raw_Data'!$A:$J,10,FALSE)="","",VLOOKUP(A83,'1_Raw_Data'!$A:$J,10,FALSE)),"")</f>
        <v/>
      </c>
      <c r="K83" t="str">
        <f t="shared" si="2"/>
        <v>Clean</v>
      </c>
      <c r="L83">
        <f>IF(G83="GBP",1,VLOOKUP(H83,FX_Rates!$A:$B,2,0))</f>
        <v>0.85709999999999997</v>
      </c>
    </row>
    <row r="84" spans="1:12">
      <c r="A84">
        <f>IFERROR(INDEX('1_Raw_Data'!$A:$A,MATCH(ROW()-1,'1_Raw_Data'!$M:$M,0)),"")</f>
        <v>83</v>
      </c>
      <c r="B84" t="str">
        <f>IFERROR(VLOOKUP(LOWER(VLOOKUP(A84,'1_Raw_Data'!$A:$J,2,0)),LookupSheet!$A:$B,2,0),"MISSING")</f>
        <v>Sweden</v>
      </c>
      <c r="C84" t="str">
        <f>VLOOKUP(A84,'1_Raw_Data'!$A:$J,3,0)</f>
        <v>Omnicom Media Group</v>
      </c>
      <c r="D84" t="str">
        <f>VLOOKUP(A84,'1_Raw_Data'!$A:$J,4,0)</f>
        <v>Subscriber Acquisition - Spring</v>
      </c>
      <c r="E84" s="22">
        <f>'1_Raw_Data'!E84*L84</f>
        <v>105362.77</v>
      </c>
      <c r="F84" s="22">
        <f>IF('1_Raw_Data'!F84="","MISSING",'1_Raw_Data'!F84*L84)</f>
        <v>100395.74</v>
      </c>
      <c r="G84" t="str">
        <f>UPPER(SUBSTITUTE(SUBSTITUTE(VLOOKUP(A84,'1_Raw_Data'!$A:$J,7,0),"€","EUR"),"£","GBP"))</f>
        <v>GBP</v>
      </c>
      <c r="H84" t="str">
        <f>IFERROR(VLOOKUP(LOWER(VLOOKUP(A84,'1_Raw_Data'!$A:$J,8,0)),LookupSheet!$C:$D,2,0),IFERROR(VLOOKUP(LOWER(TEXT(VLOOKUP(A84,'1_Raw_Data'!$A:$J,8,0),"mmm-yy")),LookupSheet!$C:$D,2,0),VLOOKUP(A84,'1_Raw_Data'!$A:$J,8,0)))</f>
        <v>Mar-2024</v>
      </c>
      <c r="I84" t="str">
        <f>IFERROR(VLOOKUP(LOWER(VLOOKUP(A84,'1_Raw_Data'!$A:$J,9,0)),LookupSheet!$E:$F,2,0),VLOOKUP(A84,'1_Raw_Data'!$A:$J,9,0))</f>
        <v>Disputed</v>
      </c>
      <c r="J84" t="str">
        <f>IFERROR(IF(VLOOKUP(A84,'1_Raw_Data'!$A:$J,10,FALSE)="","",VLOOKUP(A84,'1_Raw_Data'!$A:$J,10,FALSE)),"")</f>
        <v>Amended</v>
      </c>
      <c r="K84" t="str">
        <f t="shared" si="2"/>
        <v>Clean</v>
      </c>
      <c r="L84">
        <f>IF(G84="GBP",1,VLOOKUP(H84,FX_Rates!$A:$B,2,0))</f>
        <v>1</v>
      </c>
    </row>
    <row r="85" spans="1:12">
      <c r="A85">
        <f>IFERROR(INDEX('1_Raw_Data'!$A:$A,MATCH(ROW()-1,'1_Raw_Data'!$M:$M,0)),"")</f>
        <v>84</v>
      </c>
      <c r="B85" t="str">
        <f>IFERROR(VLOOKUP(LOWER(VLOOKUP(A85,'1_Raw_Data'!$A:$J,2,0)),LookupSheet!$A:$B,2,0),"MISSING")</f>
        <v>Italy</v>
      </c>
      <c r="C85" t="str">
        <f>VLOOKUP(A85,'1_Raw_Data'!$A:$J,3,0)</f>
        <v>Hearts &amp; Science</v>
      </c>
      <c r="D85" t="str">
        <f>VLOOKUP(A85,'1_Raw_Data'!$A:$J,4,0)</f>
        <v>Agency Co-op Feb</v>
      </c>
      <c r="E85" s="22">
        <f>'1_Raw_Data'!E85*L85</f>
        <v>85318.562430000005</v>
      </c>
      <c r="F85" s="22">
        <f>IF('1_Raw_Data'!F85="","MISSING",'1_Raw_Data'!F85*L85)</f>
        <v>85318.562430000005</v>
      </c>
      <c r="G85" t="str">
        <f>UPPER(SUBSTITUTE(SUBSTITUTE(VLOOKUP(A85,'1_Raw_Data'!$A:$J,7,0),"€","EUR"),"£","GBP"))</f>
        <v>EUR</v>
      </c>
      <c r="H85" t="str">
        <f>IFERROR(VLOOKUP(LOWER(VLOOKUP(A85,'1_Raw_Data'!$A:$J,8,0)),LookupSheet!$C:$D,2,0),IFERROR(VLOOKUP(LOWER(TEXT(VLOOKUP(A85,'1_Raw_Data'!$A:$J,8,0),"mmm-yy")),LookupSheet!$C:$D,2,0),VLOOKUP(A85,'1_Raw_Data'!$A:$J,8,0)))</f>
        <v>Jan-2024</v>
      </c>
      <c r="I85" t="str">
        <f>IFERROR(VLOOKUP(LOWER(VLOOKUP(A85,'1_Raw_Data'!$A:$J,9,0)),LookupSheet!$E:$F,2,0),VLOOKUP(A85,'1_Raw_Data'!$A:$J,9,0))</f>
        <v>Paid</v>
      </c>
      <c r="J85" t="str">
        <f>IFERROR(IF(VLOOKUP(A85,'1_Raw_Data'!$A:$J,10,FALSE)="","",VLOOKUP(A85,'1_Raw_Data'!$A:$J,10,FALSE)),"")</f>
        <v/>
      </c>
      <c r="K85" t="str">
        <f t="shared" si="2"/>
        <v>Clean</v>
      </c>
      <c r="L85">
        <f>IF(G85="GBP",1,VLOOKUP(H85,FX_Rates!$A:$B,2,0))</f>
        <v>0.85709999999999997</v>
      </c>
    </row>
    <row r="86" spans="1:12">
      <c r="A86">
        <f>IFERROR(INDEX('1_Raw_Data'!$A:$A,MATCH(ROW()-1,'1_Raw_Data'!$M:$M,0)),"")</f>
        <v>85</v>
      </c>
      <c r="B86" t="str">
        <f>IFERROR(VLOOKUP(LOWER(VLOOKUP(A86,'1_Raw_Data'!$A:$J,2,0)),LookupSheet!$A:$B,2,0),"MISSING")</f>
        <v>Germany</v>
      </c>
      <c r="C86" t="str">
        <f>VLOOKUP(A86,'1_Raw_Data'!$A:$J,3,0)</f>
        <v>Dentsu</v>
      </c>
      <c r="D86" t="str">
        <f>VLOOKUP(A86,'1_Raw_Data'!$A:$J,4,0)</f>
        <v>Agency Co-op Feb</v>
      </c>
      <c r="E86" s="22">
        <f>'1_Raw_Data'!E86*L86</f>
        <v>100689.68952</v>
      </c>
      <c r="F86" s="22">
        <f>IF('1_Raw_Data'!F86="","MISSING",'1_Raw_Data'!F86*L86)</f>
        <v>100689.68952</v>
      </c>
      <c r="G86" t="str">
        <f>UPPER(SUBSTITUTE(SUBSTITUTE(VLOOKUP(A86,'1_Raw_Data'!$A:$J,7,0),"€","EUR"),"£","GBP"))</f>
        <v>EUR</v>
      </c>
      <c r="H86" t="str">
        <f>IFERROR(VLOOKUP(LOWER(VLOOKUP(A86,'1_Raw_Data'!$A:$J,8,0)),LookupSheet!$C:$D,2,0),IFERROR(VLOOKUP(LOWER(TEXT(VLOOKUP(A86,'1_Raw_Data'!$A:$J,8,0),"mmm-yy")),LookupSheet!$C:$D,2,0),VLOOKUP(A86,'1_Raw_Data'!$A:$J,8,0)))</f>
        <v>Jun-2024</v>
      </c>
      <c r="I86" t="str">
        <f>IFERROR(VLOOKUP(LOWER(VLOOKUP(A86,'1_Raw_Data'!$A:$J,9,0)),LookupSheet!$E:$F,2,0),VLOOKUP(A86,'1_Raw_Data'!$A:$J,9,0))</f>
        <v>Confirmed</v>
      </c>
      <c r="J86" t="str">
        <f>IFERROR(IF(VLOOKUP(A86,'1_Raw_Data'!$A:$J,10,FALSE)="","",VLOOKUP(A86,'1_Raw_Data'!$A:$J,10,FALSE)),"")</f>
        <v/>
      </c>
      <c r="K86" t="str">
        <f t="shared" si="2"/>
        <v>Clean</v>
      </c>
      <c r="L86">
        <f>IF(G86="GBP",1,VLOOKUP(H86,FX_Rates!$A:$B,2,0))</f>
        <v>0.84399999999999997</v>
      </c>
    </row>
    <row r="87" spans="1:12">
      <c r="A87">
        <f>IFERROR(INDEX('1_Raw_Data'!$A:$A,MATCH(ROW()-1,'1_Raw_Data'!$M:$M,0)),"")</f>
        <v>86</v>
      </c>
      <c r="B87" t="str">
        <f>IFERROR(VLOOKUP(LOWER(VLOOKUP(A87,'1_Raw_Data'!$A:$J,2,0)),LookupSheet!$A:$B,2,0),"MISSING")</f>
        <v>UK</v>
      </c>
      <c r="C87" t="str">
        <f>VLOOKUP(A87,'1_Raw_Data'!$A:$J,3,0)</f>
        <v>IPG Mediabrands</v>
      </c>
      <c r="D87" t="str">
        <f>VLOOKUP(A87,'1_Raw_Data'!$A:$J,4,0)</f>
        <v>Winter Churn Prevention</v>
      </c>
      <c r="E87" s="22">
        <f>'1_Raw_Data'!E87*L87</f>
        <v>103919.17</v>
      </c>
      <c r="F87" s="22">
        <f>IF('1_Raw_Data'!F87="","MISSING",'1_Raw_Data'!F87*L87)</f>
        <v>107179.8</v>
      </c>
      <c r="G87" t="str">
        <f>UPPER(SUBSTITUTE(SUBSTITUTE(VLOOKUP(A87,'1_Raw_Data'!$A:$J,7,0),"€","EUR"),"£","GBP"))</f>
        <v>GBP</v>
      </c>
      <c r="H87" t="str">
        <f>IFERROR(VLOOKUP(LOWER(VLOOKUP(A87,'1_Raw_Data'!$A:$J,8,0)),LookupSheet!$C:$D,2,0),IFERROR(VLOOKUP(LOWER(TEXT(VLOOKUP(A87,'1_Raw_Data'!$A:$J,8,0),"mmm-yy")),LookupSheet!$C:$D,2,0),VLOOKUP(A87,'1_Raw_Data'!$A:$J,8,0)))</f>
        <v>Mar-2024</v>
      </c>
      <c r="I87" t="str">
        <f>IFERROR(VLOOKUP(LOWER(VLOOKUP(A87,'1_Raw_Data'!$A:$J,9,0)),LookupSheet!$E:$F,2,0),VLOOKUP(A87,'1_Raw_Data'!$A:$J,9,0))</f>
        <v>Pending</v>
      </c>
      <c r="J87" t="str">
        <f>IFERROR(IF(VLOOKUP(A87,'1_Raw_Data'!$A:$J,10,FALSE)="","",VLOOKUP(A87,'1_Raw_Data'!$A:$J,10,FALSE)),"")</f>
        <v>Late invoice</v>
      </c>
      <c r="K87" t="str">
        <f t="shared" si="2"/>
        <v>Clean</v>
      </c>
      <c r="L87">
        <f>IF(G87="GBP",1,VLOOKUP(H87,FX_Rates!$A:$B,2,0))</f>
        <v>1</v>
      </c>
    </row>
    <row r="88" spans="1:12">
      <c r="A88">
        <f>IFERROR(INDEX('1_Raw_Data'!$A:$A,MATCH(ROW()-1,'1_Raw_Data'!$M:$M,0)),"")</f>
        <v>87</v>
      </c>
      <c r="B88" t="str">
        <f>IFERROR(VLOOKUP(LOWER(VLOOKUP(A88,'1_Raw_Data'!$A:$J,2,0)),LookupSheet!$A:$B,2,0),"MISSING")</f>
        <v>Italy</v>
      </c>
      <c r="C88" t="str">
        <f>VLOOKUP(A88,'1_Raw_Data'!$A:$J,3,0)</f>
        <v>WPP Media</v>
      </c>
      <c r="D88" t="str">
        <f>VLOOKUP(A88,'1_Raw_Data'!$A:$J,4,0)</f>
        <v>Connected TV Bundle</v>
      </c>
      <c r="E88" s="22">
        <f>'1_Raw_Data'!E88*L88</f>
        <v>69333.024060000011</v>
      </c>
      <c r="F88" s="22">
        <f>IF('1_Raw_Data'!F88="","MISSING",'1_Raw_Data'!F88*L88)</f>
        <v>69333.024060000011</v>
      </c>
      <c r="G88" t="str">
        <f>UPPER(SUBSTITUTE(SUBSTITUTE(VLOOKUP(A88,'1_Raw_Data'!$A:$J,7,0),"€","EUR"),"£","GBP"))</f>
        <v>EUR</v>
      </c>
      <c r="H88" t="str">
        <f>IFERROR(VLOOKUP(LOWER(VLOOKUP(A88,'1_Raw_Data'!$A:$J,8,0)),LookupSheet!$C:$D,2,0),IFERROR(VLOOKUP(LOWER(TEXT(VLOOKUP(A88,'1_Raw_Data'!$A:$J,8,0),"mmm-yy")),LookupSheet!$C:$D,2,0),VLOOKUP(A88,'1_Raw_Data'!$A:$J,8,0)))</f>
        <v>Mar-2024</v>
      </c>
      <c r="I88" t="str">
        <f>IFERROR(VLOOKUP(LOWER(VLOOKUP(A88,'1_Raw_Data'!$A:$J,9,0)),LookupSheet!$E:$F,2,0),VLOOKUP(A88,'1_Raw_Data'!$A:$J,9,0))</f>
        <v>Under Review</v>
      </c>
      <c r="J88" t="str">
        <f>IFERROR(IF(VLOOKUP(A88,'1_Raw_Data'!$A:$J,10,FALSE)="","",VLOOKUP(A88,'1_Raw_Data'!$A:$J,10,FALSE)),"")</f>
        <v/>
      </c>
      <c r="K88" t="str">
        <f t="shared" si="2"/>
        <v>Clean</v>
      </c>
      <c r="L88">
        <f>IF(G88="GBP",1,VLOOKUP(H88,FX_Rates!$A:$B,2,0))</f>
        <v>0.85650000000000004</v>
      </c>
    </row>
    <row r="89" spans="1:12">
      <c r="A89">
        <f>IFERROR(INDEX('1_Raw_Data'!$A:$A,MATCH(ROW()-1,'1_Raw_Data'!$M:$M,0)),"")</f>
        <v>88</v>
      </c>
      <c r="B89" t="str">
        <f>IFERROR(VLOOKUP(LOWER(VLOOKUP(A89,'1_Raw_Data'!$A:$J,2,0)),LookupSheet!$A:$B,2,0),"MISSING")</f>
        <v>MISSING</v>
      </c>
      <c r="C89" t="str">
        <f>VLOOKUP(A89,'1_Raw_Data'!$A:$J,3,0)</f>
        <v>Dentsu</v>
      </c>
      <c r="D89" t="str">
        <f>VLOOKUP(A89,'1_Raw_Data'!$A:$J,4,0)</f>
        <v>Connected TV Bundle</v>
      </c>
      <c r="E89" s="22">
        <f>'1_Raw_Data'!E89*L89</f>
        <v>72234.399527999994</v>
      </c>
      <c r="F89" s="22">
        <f>IF('1_Raw_Data'!F89="","MISSING",'1_Raw_Data'!F89*L89)</f>
        <v>72234.399527999994</v>
      </c>
      <c r="G89" t="str">
        <f>UPPER(SUBSTITUTE(SUBSTITUTE(VLOOKUP(A89,'1_Raw_Data'!$A:$J,7,0),"€","EUR"),"£","GBP"))</f>
        <v>EUR</v>
      </c>
      <c r="H89" t="str">
        <f>IFERROR(VLOOKUP(LOWER(VLOOKUP(A89,'1_Raw_Data'!$A:$J,8,0)),LookupSheet!$C:$D,2,0),IFERROR(VLOOKUP(LOWER(TEXT(VLOOKUP(A89,'1_Raw_Data'!$A:$J,8,0),"mmm-yy")),LookupSheet!$C:$D,2,0),VLOOKUP(A89,'1_Raw_Data'!$A:$J,8,0)))</f>
        <v>Jan-2024</v>
      </c>
      <c r="I89" t="str">
        <f>IFERROR(VLOOKUP(LOWER(VLOOKUP(A89,'1_Raw_Data'!$A:$J,9,0)),LookupSheet!$E:$F,2,0),VLOOKUP(A89,'1_Raw_Data'!$A:$J,9,0))</f>
        <v>Confirmed</v>
      </c>
      <c r="J89" t="str">
        <f>IFERROR(IF(VLOOKUP(A89,'1_Raw_Data'!$A:$J,10,FALSE)="","",VLOOKUP(A89,'1_Raw_Data'!$A:$J,10,FALSE)),"")</f>
        <v/>
      </c>
      <c r="K89" t="str">
        <f t="shared" si="2"/>
        <v>Clean</v>
      </c>
      <c r="L89">
        <f>IF(G89="GBP",1,VLOOKUP(H89,FX_Rates!$A:$B,2,0))</f>
        <v>0.85709999999999997</v>
      </c>
    </row>
    <row r="90" spans="1:12">
      <c r="A90">
        <f>IFERROR(INDEX('1_Raw_Data'!$A:$A,MATCH(ROW()-1,'1_Raw_Data'!$M:$M,0)),"")</f>
        <v>89</v>
      </c>
      <c r="B90" t="str">
        <f>IFERROR(VLOOKUP(LOWER(VLOOKUP(A90,'1_Raw_Data'!$A:$J,2,0)),LookupSheet!$A:$B,2,0),"MISSING")</f>
        <v>Spain</v>
      </c>
      <c r="C90" t="str">
        <f>VLOOKUP(A90,'1_Raw_Data'!$A:$J,3,0)</f>
        <v>MediaCom</v>
      </c>
      <c r="D90" t="str">
        <f>VLOOKUP(A90,'1_Raw_Data'!$A:$J,4,0)</f>
        <v>Performance Max Q1</v>
      </c>
      <c r="E90" s="22">
        <f>'1_Raw_Data'!E90*L90</f>
        <v>27388.800773999999</v>
      </c>
      <c r="F90" s="22">
        <f>IF('1_Raw_Data'!F90="","MISSING",'1_Raw_Data'!F90*L90)</f>
        <v>27388.800773999999</v>
      </c>
      <c r="G90" t="str">
        <f>UPPER(SUBSTITUTE(SUBSTITUTE(VLOOKUP(A90,'1_Raw_Data'!$A:$J,7,0),"€","EUR"),"£","GBP"))</f>
        <v>EUR</v>
      </c>
      <c r="H90" t="str">
        <f>IFERROR(VLOOKUP(LOWER(VLOOKUP(A90,'1_Raw_Data'!$A:$J,8,0)),LookupSheet!$C:$D,2,0),IFERROR(VLOOKUP(LOWER(TEXT(VLOOKUP(A90,'1_Raw_Data'!$A:$J,8,0),"mmm-yy")),LookupSheet!$C:$D,2,0),VLOOKUP(A90,'1_Raw_Data'!$A:$J,8,0)))</f>
        <v>Apr-2024</v>
      </c>
      <c r="I90" t="str">
        <f>IFERROR(VLOOKUP(LOWER(VLOOKUP(A90,'1_Raw_Data'!$A:$J,9,0)),LookupSheet!$E:$F,2,0),VLOOKUP(A90,'1_Raw_Data'!$A:$J,9,0))</f>
        <v>Under Review</v>
      </c>
      <c r="J90" t="str">
        <f>IFERROR(IF(VLOOKUP(A90,'1_Raw_Data'!$A:$J,10,FALSE)="","",VLOOKUP(A90,'1_Raw_Data'!$A:$J,10,FALSE)),"")</f>
        <v>Late invoice</v>
      </c>
      <c r="K90" t="str">
        <f t="shared" si="2"/>
        <v>Clean</v>
      </c>
      <c r="L90">
        <f>IF(G90="GBP",1,VLOOKUP(H90,FX_Rates!$A:$B,2,0))</f>
        <v>0.86009999999999998</v>
      </c>
    </row>
    <row r="91" spans="1:12">
      <c r="A91">
        <f>IFERROR(INDEX('1_Raw_Data'!$A:$A,MATCH(ROW()-1,'1_Raw_Data'!$M:$M,0)),"")</f>
        <v>90</v>
      </c>
      <c r="B91" t="str">
        <f>IFERROR(VLOOKUP(LOWER(VLOOKUP(A91,'1_Raw_Data'!$A:$J,2,0)),LookupSheet!$A:$B,2,0),"MISSING")</f>
        <v>Netherlands</v>
      </c>
      <c r="C91" t="str">
        <f>VLOOKUP(A91,'1_Raw_Data'!$A:$J,3,0)</f>
        <v>Mindshare</v>
      </c>
      <c r="D91" t="str">
        <f>VLOOKUP(A91,'1_Raw_Data'!$A:$J,4,0)</f>
        <v>Winter Churn Prevention</v>
      </c>
      <c r="E91" s="22">
        <f>'1_Raw_Data'!E91*L91</f>
        <v>22133.78</v>
      </c>
      <c r="F91" s="22">
        <f>IF('1_Raw_Data'!F91="","MISSING",'1_Raw_Data'!F91*L91)</f>
        <v>22133.78</v>
      </c>
      <c r="G91" t="str">
        <f>UPPER(SUBSTITUTE(SUBSTITUTE(VLOOKUP(A91,'1_Raw_Data'!$A:$J,7,0),"€","EUR"),"£","GBP"))</f>
        <v>GBP</v>
      </c>
      <c r="H91" t="str">
        <f>IFERROR(VLOOKUP(LOWER(VLOOKUP(A91,'1_Raw_Data'!$A:$J,8,0)),LookupSheet!$C:$D,2,0),IFERROR(VLOOKUP(LOWER(TEXT(VLOOKUP(A91,'1_Raw_Data'!$A:$J,8,0),"mmm-yy")),LookupSheet!$C:$D,2,0),VLOOKUP(A91,'1_Raw_Data'!$A:$J,8,0)))</f>
        <v>Mar-2024</v>
      </c>
      <c r="I91" t="str">
        <f>IFERROR(VLOOKUP(LOWER(VLOOKUP(A91,'1_Raw_Data'!$A:$J,9,0)),LookupSheet!$E:$F,2,0),VLOOKUP(A91,'1_Raw_Data'!$A:$J,9,0))</f>
        <v>Confirmed</v>
      </c>
      <c r="J91" t="str">
        <f>IFERROR(IF(VLOOKUP(A91,'1_Raw_Data'!$A:$J,10,FALSE)="","",VLOOKUP(A91,'1_Raw_Data'!$A:$J,10,FALSE)),"")</f>
        <v/>
      </c>
      <c r="K91" t="str">
        <f t="shared" si="2"/>
        <v>Clean</v>
      </c>
      <c r="L91">
        <f>IF(G91="GBP",1,VLOOKUP(H91,FX_Rates!$A:$B,2,0))</f>
        <v>1</v>
      </c>
    </row>
    <row r="92" spans="1:12">
      <c r="A92">
        <f>IFERROR(INDEX('1_Raw_Data'!$A:$A,MATCH(ROW()-1,'1_Raw_Data'!$M:$M,0)),"")</f>
        <v>91</v>
      </c>
      <c r="B92" t="str">
        <f>IFERROR(VLOOKUP(LOWER(VLOOKUP(A92,'1_Raw_Data'!$A:$J,2,0)),LookupSheet!$A:$B,2,0),"MISSING")</f>
        <v>Germany</v>
      </c>
      <c r="C92" t="str">
        <f>VLOOKUP(A92,'1_Raw_Data'!$A:$J,3,0)</f>
        <v>MediaCom</v>
      </c>
      <c r="D92" t="str">
        <f>VLOOKUP(A92,'1_Raw_Data'!$A:$J,4,0)</f>
        <v>Always-On Display</v>
      </c>
      <c r="E92" s="22">
        <f>'1_Raw_Data'!E92*L92</f>
        <v>85527.977673000001</v>
      </c>
      <c r="F92" s="22">
        <f>IF('1_Raw_Data'!F92="","MISSING",'1_Raw_Data'!F92*L92)</f>
        <v>89012.449154999995</v>
      </c>
      <c r="G92" t="str">
        <f>UPPER(SUBSTITUTE(SUBSTITUTE(VLOOKUP(A92,'1_Raw_Data'!$A:$J,7,0),"€","EUR"),"£","GBP"))</f>
        <v>EUR</v>
      </c>
      <c r="H92" t="str">
        <f>IFERROR(VLOOKUP(LOWER(VLOOKUP(A92,'1_Raw_Data'!$A:$J,8,0)),LookupSheet!$C:$D,2,0),IFERROR(VLOOKUP(LOWER(TEXT(VLOOKUP(A92,'1_Raw_Data'!$A:$J,8,0),"mmm-yy")),LookupSheet!$C:$D,2,0),VLOOKUP(A92,'1_Raw_Data'!$A:$J,8,0)))</f>
        <v>Jan-2024</v>
      </c>
      <c r="I92" t="str">
        <f>IFERROR(VLOOKUP(LOWER(VLOOKUP(A92,'1_Raw_Data'!$A:$J,9,0)),LookupSheet!$E:$F,2,0),VLOOKUP(A92,'1_Raw_Data'!$A:$J,9,0))</f>
        <v>Confirmed</v>
      </c>
      <c r="J92" t="str">
        <f>IFERROR(IF(VLOOKUP(A92,'1_Raw_Data'!$A:$J,10,FALSE)="","",VLOOKUP(A92,'1_Raw_Data'!$A:$J,10,FALSE)),"")</f>
        <v>Re-sent</v>
      </c>
      <c r="K92" t="str">
        <f t="shared" si="2"/>
        <v>Clean</v>
      </c>
      <c r="L92">
        <f>IF(G92="GBP",1,VLOOKUP(H92,FX_Rates!$A:$B,2,0))</f>
        <v>0.85709999999999997</v>
      </c>
    </row>
    <row r="93" spans="1:12">
      <c r="A93">
        <f>IFERROR(INDEX('1_Raw_Data'!$A:$A,MATCH(ROW()-1,'1_Raw_Data'!$M:$M,0)),"")</f>
        <v>92</v>
      </c>
      <c r="B93" t="str">
        <f>IFERROR(VLOOKUP(LOWER(VLOOKUP(A93,'1_Raw_Data'!$A:$J,2,0)),LookupSheet!$A:$B,2,0),"MISSING")</f>
        <v>Netherlands</v>
      </c>
      <c r="C93" t="str">
        <f>VLOOKUP(A93,'1_Raw_Data'!$A:$J,3,0)</f>
        <v>Hearts &amp; Science</v>
      </c>
      <c r="D93" t="str">
        <f>VLOOKUP(A93,'1_Raw_Data'!$A:$J,4,0)</f>
        <v>Data-Driven Creative</v>
      </c>
      <c r="E93" s="22">
        <f>'1_Raw_Data'!E93*L93</f>
        <v>47433.859616999995</v>
      </c>
      <c r="F93" s="22">
        <f>IF('1_Raw_Data'!F93="","MISSING",'1_Raw_Data'!F93*L93)</f>
        <v>46592.367407999998</v>
      </c>
      <c r="G93" t="str">
        <f>UPPER(SUBSTITUTE(SUBSTITUTE(VLOOKUP(A93,'1_Raw_Data'!$A:$J,7,0),"€","EUR"),"£","GBP"))</f>
        <v>EUR</v>
      </c>
      <c r="H93" t="str">
        <f>IFERROR(VLOOKUP(LOWER(VLOOKUP(A93,'1_Raw_Data'!$A:$J,8,0)),LookupSheet!$C:$D,2,0),IFERROR(VLOOKUP(LOWER(TEXT(VLOOKUP(A93,'1_Raw_Data'!$A:$J,8,0),"mmm-yy")),LookupSheet!$C:$D,2,0),VLOOKUP(A93,'1_Raw_Data'!$A:$J,8,0)))</f>
        <v>Jan-2024</v>
      </c>
      <c r="I93" t="str">
        <f>IFERROR(VLOOKUP(LOWER(VLOOKUP(A93,'1_Raw_Data'!$A:$J,9,0)),LookupSheet!$E:$F,2,0),VLOOKUP(A93,'1_Raw_Data'!$A:$J,9,0))</f>
        <v>Disputed</v>
      </c>
      <c r="J93" t="str">
        <f>IFERROR(IF(VLOOKUP(A93,'1_Raw_Data'!$A:$J,10,FALSE)="","",VLOOKUP(A93,'1_Raw_Data'!$A:$J,10,FALSE)),"")</f>
        <v>Check with agency</v>
      </c>
      <c r="K93" t="str">
        <f t="shared" si="2"/>
        <v>Clean</v>
      </c>
      <c r="L93">
        <f>IF(G93="GBP",1,VLOOKUP(H93,FX_Rates!$A:$B,2,0))</f>
        <v>0.85709999999999997</v>
      </c>
    </row>
    <row r="94" spans="1:12">
      <c r="A94">
        <f>IFERROR(INDEX('1_Raw_Data'!$A:$A,MATCH(ROW()-1,'1_Raw_Data'!$M:$M,0)),"")</f>
        <v>93</v>
      </c>
      <c r="B94" t="str">
        <f>IFERROR(VLOOKUP(LOWER(VLOOKUP(A94,'1_Raw_Data'!$A:$J,2,0)),LookupSheet!$A:$B,2,0),"MISSING")</f>
        <v>Italy</v>
      </c>
      <c r="C94" t="str">
        <f>VLOOKUP(A94,'1_Raw_Data'!$A:$J,3,0)</f>
        <v>Havas Media</v>
      </c>
      <c r="D94" t="str">
        <f>VLOOKUP(A94,'1_Raw_Data'!$A:$J,4,0)</f>
        <v>Regional Launch NL</v>
      </c>
      <c r="E94" s="22">
        <f>'1_Raw_Data'!E94*L94</f>
        <v>98344.195242000002</v>
      </c>
      <c r="F94" s="22">
        <f>IF('1_Raw_Data'!F94="","MISSING",'1_Raw_Data'!F94*L94)</f>
        <v>103955.68546499999</v>
      </c>
      <c r="G94" t="str">
        <f>UPPER(SUBSTITUTE(SUBSTITUTE(VLOOKUP(A94,'1_Raw_Data'!$A:$J,7,0),"€","EUR"),"£","GBP"))</f>
        <v>EUR</v>
      </c>
      <c r="H94" t="str">
        <f>IFERROR(VLOOKUP(LOWER(VLOOKUP(A94,'1_Raw_Data'!$A:$J,8,0)),LookupSheet!$C:$D,2,0),IFERROR(VLOOKUP(LOWER(TEXT(VLOOKUP(A94,'1_Raw_Data'!$A:$J,8,0),"mmm-yy")),LookupSheet!$C:$D,2,0),VLOOKUP(A94,'1_Raw_Data'!$A:$J,8,0)))</f>
        <v>Apr-2024</v>
      </c>
      <c r="I94" t="str">
        <f>IFERROR(VLOOKUP(LOWER(VLOOKUP(A94,'1_Raw_Data'!$A:$J,9,0)),LookupSheet!$E:$F,2,0),VLOOKUP(A94,'1_Raw_Data'!$A:$J,9,0))</f>
        <v>Under Review</v>
      </c>
      <c r="J94" t="str">
        <f>IFERROR(IF(VLOOKUP(A94,'1_Raw_Data'!$A:$J,10,FALSE)="","",VLOOKUP(A94,'1_Raw_Data'!$A:$J,10,FALSE)),"")</f>
        <v>Original lost</v>
      </c>
      <c r="K94" t="str">
        <f t="shared" si="2"/>
        <v>Clean</v>
      </c>
      <c r="L94">
        <f>IF(G94="GBP",1,VLOOKUP(H94,FX_Rates!$A:$B,2,0))</f>
        <v>0.86009999999999998</v>
      </c>
    </row>
    <row r="95" spans="1:12">
      <c r="A95">
        <f>IFERROR(INDEX('1_Raw_Data'!$A:$A,MATCH(ROW()-1,'1_Raw_Data'!$M:$M,0)),"")</f>
        <v>94</v>
      </c>
      <c r="B95" t="str">
        <f>IFERROR(VLOOKUP(LOWER(VLOOKUP(A95,'1_Raw_Data'!$A:$J,2,0)),LookupSheet!$A:$B,2,0),"MISSING")</f>
        <v>UK</v>
      </c>
      <c r="C95" t="str">
        <f>VLOOKUP(A95,'1_Raw_Data'!$A:$J,3,0)</f>
        <v>Hearts &amp; Science</v>
      </c>
      <c r="D95" t="str">
        <f>VLOOKUP(A95,'1_Raw_Data'!$A:$J,4,0)</f>
        <v>Subscriber Acquisition - Spring</v>
      </c>
      <c r="E95" s="22">
        <f>'1_Raw_Data'!E95*L95</f>
        <v>36988.01</v>
      </c>
      <c r="F95" s="22">
        <f>IF('1_Raw_Data'!F95="","MISSING",'1_Raw_Data'!F95*L95)</f>
        <v>38486.47</v>
      </c>
      <c r="G95" t="str">
        <f>UPPER(SUBSTITUTE(SUBSTITUTE(VLOOKUP(A95,'1_Raw_Data'!$A:$J,7,0),"€","EUR"),"£","GBP"))</f>
        <v>GBP</v>
      </c>
      <c r="H95" t="str">
        <f>IFERROR(VLOOKUP(LOWER(VLOOKUP(A95,'1_Raw_Data'!$A:$J,8,0)),LookupSheet!$C:$D,2,0),IFERROR(VLOOKUP(LOWER(TEXT(VLOOKUP(A95,'1_Raw_Data'!$A:$J,8,0),"mmm-yy")),LookupSheet!$C:$D,2,0),VLOOKUP(A95,'1_Raw_Data'!$A:$J,8,0)))</f>
        <v>Jun-2024</v>
      </c>
      <c r="I95" t="str">
        <f>IFERROR(VLOOKUP(LOWER(VLOOKUP(A95,'1_Raw_Data'!$A:$J,9,0)),LookupSheet!$E:$F,2,0),VLOOKUP(A95,'1_Raw_Data'!$A:$J,9,0))</f>
        <v>Confirmed</v>
      </c>
      <c r="J95" t="str">
        <f>IFERROR(IF(VLOOKUP(A95,'1_Raw_Data'!$A:$J,10,FALSE)="","",VLOOKUP(A95,'1_Raw_Data'!$A:$J,10,FALSE)),"")</f>
        <v>Original lost</v>
      </c>
      <c r="K95" t="str">
        <f t="shared" si="2"/>
        <v>Clean</v>
      </c>
      <c r="L95">
        <f>IF(G95="GBP",1,VLOOKUP(H95,FX_Rates!$A:$B,2,0))</f>
        <v>1</v>
      </c>
    </row>
    <row r="96" spans="1:12">
      <c r="A96">
        <f>IFERROR(INDEX('1_Raw_Data'!$A:$A,MATCH(ROW()-1,'1_Raw_Data'!$M:$M,0)),"")</f>
        <v>95</v>
      </c>
      <c r="B96" t="str">
        <f>IFERROR(VLOOKUP(LOWER(VLOOKUP(A96,'1_Raw_Data'!$A:$J,2,0)),LookupSheet!$A:$B,2,0),"MISSING")</f>
        <v>Italy</v>
      </c>
      <c r="C96" t="str">
        <f>VLOOKUP(A96,'1_Raw_Data'!$A:$J,3,0)</f>
        <v>IPG Mediabrands</v>
      </c>
      <c r="D96" t="str">
        <f>VLOOKUP(A96,'1_Raw_Data'!$A:$J,4,0)</f>
        <v>Q1 Brand Awareness</v>
      </c>
      <c r="E96" s="22">
        <f>'1_Raw_Data'!E96*L96</f>
        <v>70026.363154999999</v>
      </c>
      <c r="F96" s="22">
        <f>IF('1_Raw_Data'!F96="","MISSING",'1_Raw_Data'!F96*L96)</f>
        <v>72343.277446999986</v>
      </c>
      <c r="G96" t="str">
        <f>UPPER(SUBSTITUTE(SUBSTITUTE(VLOOKUP(A96,'1_Raw_Data'!$A:$J,7,0),"€","EUR"),"£","GBP"))</f>
        <v>EUR</v>
      </c>
      <c r="H96" t="str">
        <f>IFERROR(VLOOKUP(LOWER(VLOOKUP(A96,'1_Raw_Data'!$A:$J,8,0)),LookupSheet!$C:$D,2,0),IFERROR(VLOOKUP(LOWER(TEXT(VLOOKUP(A96,'1_Raw_Data'!$A:$J,8,0),"mmm-yy")),LookupSheet!$C:$D,2,0),VLOOKUP(A96,'1_Raw_Data'!$A:$J,8,0)))</f>
        <v>May-2024</v>
      </c>
      <c r="I96" t="str">
        <f>IFERROR(VLOOKUP(LOWER(VLOOKUP(A96,'1_Raw_Data'!$A:$J,9,0)),LookupSheet!$E:$F,2,0),VLOOKUP(A96,'1_Raw_Data'!$A:$J,9,0))</f>
        <v>Confirmed</v>
      </c>
      <c r="J96" t="str">
        <f>IFERROR(IF(VLOOKUP(A96,'1_Raw_Data'!$A:$J,10,FALSE)="","",VLOOKUP(A96,'1_Raw_Data'!$A:$J,10,FALSE)),"")</f>
        <v/>
      </c>
      <c r="K96" t="str">
        <f t="shared" si="2"/>
        <v>Clean</v>
      </c>
      <c r="L96">
        <f>IF(G96="GBP",1,VLOOKUP(H96,FX_Rates!$A:$B,2,0))</f>
        <v>0.85329999999999995</v>
      </c>
    </row>
    <row r="97" spans="1:12">
      <c r="A97">
        <f>IFERROR(INDEX('1_Raw_Data'!$A:$A,MATCH(ROW()-1,'1_Raw_Data'!$M:$M,0)),"")</f>
        <v>96</v>
      </c>
      <c r="B97" t="str">
        <f>IFERROR(VLOOKUP(LOWER(VLOOKUP(A97,'1_Raw_Data'!$A:$J,2,0)),LookupSheet!$A:$B,2,0),"MISSING")</f>
        <v>Germany</v>
      </c>
      <c r="C97" t="str">
        <f>VLOOKUP(A97,'1_Raw_Data'!$A:$J,3,0)</f>
        <v>Mindshare</v>
      </c>
      <c r="D97" t="str">
        <f>VLOOKUP(A97,'1_Raw_Data'!$A:$J,4,0)</f>
        <v>Content Promo Jan</v>
      </c>
      <c r="E97" s="22">
        <f>'1_Raw_Data'!E97*L97</f>
        <v>35146.376539000004</v>
      </c>
      <c r="F97" s="22">
        <f>IF('1_Raw_Data'!F97="","MISSING",'1_Raw_Data'!F97*L97)</f>
        <v>35146.376539000004</v>
      </c>
      <c r="G97" t="str">
        <f>UPPER(SUBSTITUTE(SUBSTITUTE(VLOOKUP(A97,'1_Raw_Data'!$A:$J,7,0),"€","EUR"),"£","GBP"))</f>
        <v>EUR</v>
      </c>
      <c r="H97" t="str">
        <f>IFERROR(VLOOKUP(LOWER(VLOOKUP(A97,'1_Raw_Data'!$A:$J,8,0)),LookupSheet!$C:$D,2,0),IFERROR(VLOOKUP(LOWER(TEXT(VLOOKUP(A97,'1_Raw_Data'!$A:$J,8,0),"mmm-yy")),LookupSheet!$C:$D,2,0),VLOOKUP(A97,'1_Raw_Data'!$A:$J,8,0)))</f>
        <v>Feb-2024</v>
      </c>
      <c r="I97" t="str">
        <f>IFERROR(VLOOKUP(LOWER(VLOOKUP(A97,'1_Raw_Data'!$A:$J,9,0)),LookupSheet!$E:$F,2,0),VLOOKUP(A97,'1_Raw_Data'!$A:$J,9,0))</f>
        <v>Confirmed</v>
      </c>
      <c r="J97" t="str">
        <f>IFERROR(IF(VLOOKUP(A97,'1_Raw_Data'!$A:$J,10,FALSE)="","",VLOOKUP(A97,'1_Raw_Data'!$A:$J,10,FALSE)),"")</f>
        <v>Manual entry</v>
      </c>
      <c r="K97" t="str">
        <f t="shared" si="2"/>
        <v>Clean</v>
      </c>
      <c r="L97">
        <f>IF(G97="GBP",1,VLOOKUP(H97,FX_Rates!$A:$B,2,0))</f>
        <v>0.85370000000000001</v>
      </c>
    </row>
    <row r="98" spans="1:12">
      <c r="A98">
        <f>IFERROR(INDEX('1_Raw_Data'!$A:$A,MATCH(ROW()-1,'1_Raw_Data'!$M:$M,0)),"")</f>
        <v>97</v>
      </c>
      <c r="B98" t="str">
        <f>IFERROR(VLOOKUP(LOWER(VLOOKUP(A98,'1_Raw_Data'!$A:$J,2,0)),LookupSheet!$A:$B,2,0),"MISSING")</f>
        <v>Germany</v>
      </c>
      <c r="C98" t="str">
        <f>VLOOKUP(A98,'1_Raw_Data'!$A:$J,3,0)</f>
        <v>Publicis</v>
      </c>
      <c r="D98" t="str">
        <f>VLOOKUP(A98,'1_Raw_Data'!$A:$J,4,0)</f>
        <v>Agency Co-op Feb</v>
      </c>
      <c r="E98" s="22">
        <f>'1_Raw_Data'!E98*L98</f>
        <v>22673.879067000002</v>
      </c>
      <c r="F98" s="22">
        <f>IF('1_Raw_Data'!F98="","MISSING",'1_Raw_Data'!F98*L98)</f>
        <v>22673.879067000002</v>
      </c>
      <c r="G98" t="str">
        <f>UPPER(SUBSTITUTE(SUBSTITUTE(VLOOKUP(A98,'1_Raw_Data'!$A:$J,7,0),"€","EUR"),"£","GBP"))</f>
        <v>EUR</v>
      </c>
      <c r="H98" t="str">
        <f>IFERROR(VLOOKUP(LOWER(VLOOKUP(A98,'1_Raw_Data'!$A:$J,8,0)),LookupSheet!$C:$D,2,0),IFERROR(VLOOKUP(LOWER(TEXT(VLOOKUP(A98,'1_Raw_Data'!$A:$J,8,0),"mmm-yy")),LookupSheet!$C:$D,2,0),VLOOKUP(A98,'1_Raw_Data'!$A:$J,8,0)))</f>
        <v>May-2024</v>
      </c>
      <c r="I98" t="str">
        <f>IFERROR(VLOOKUP(LOWER(VLOOKUP(A98,'1_Raw_Data'!$A:$J,9,0)),LookupSheet!$E:$F,2,0),VLOOKUP(A98,'1_Raw_Data'!$A:$J,9,0))</f>
        <v>Confirmed</v>
      </c>
      <c r="J98" t="str">
        <f>IFERROR(IF(VLOOKUP(A98,'1_Raw_Data'!$A:$J,10,FALSE)="","",VLOOKUP(A98,'1_Raw_Data'!$A:$J,10,FALSE)),"")</f>
        <v/>
      </c>
      <c r="K98" t="str">
        <f t="shared" si="2"/>
        <v>Clean</v>
      </c>
      <c r="L98">
        <f>IF(G98="GBP",1,VLOOKUP(H98,FX_Rates!$A:$B,2,0))</f>
        <v>0.85329999999999995</v>
      </c>
    </row>
    <row r="99" spans="1:12">
      <c r="A99">
        <f>IFERROR(INDEX('1_Raw_Data'!$A:$A,MATCH(ROW()-1,'1_Raw_Data'!$M:$M,0)),"")</f>
        <v>98</v>
      </c>
      <c r="B99" t="str">
        <f>IFERROR(VLOOKUP(LOWER(VLOOKUP(A99,'1_Raw_Data'!$A:$J,2,0)),LookupSheet!$A:$B,2,0),"MISSING")</f>
        <v>Netherlands</v>
      </c>
      <c r="C99" t="str">
        <f>VLOOKUP(A99,'1_Raw_Data'!$A:$J,3,0)</f>
        <v>Omnicom Media Group</v>
      </c>
      <c r="D99" t="str">
        <f>VLOOKUP(A99,'1_Raw_Data'!$A:$J,4,0)</f>
        <v>EMEA Upfront Deal</v>
      </c>
      <c r="E99" s="22">
        <f>'1_Raw_Data'!E99*L99</f>
        <v>94259.920279999991</v>
      </c>
      <c r="F99" s="22">
        <f>IF('1_Raw_Data'!F99="","MISSING",'1_Raw_Data'!F99*L99)</f>
        <v>94259.920279999991</v>
      </c>
      <c r="G99" t="str">
        <f>UPPER(SUBSTITUTE(SUBSTITUTE(VLOOKUP(A99,'1_Raw_Data'!$A:$J,7,0),"€","EUR"),"£","GBP"))</f>
        <v>EUR</v>
      </c>
      <c r="H99" t="str">
        <f>IFERROR(VLOOKUP(LOWER(VLOOKUP(A99,'1_Raw_Data'!$A:$J,8,0)),LookupSheet!$C:$D,2,0),IFERROR(VLOOKUP(LOWER(TEXT(VLOOKUP(A99,'1_Raw_Data'!$A:$J,8,0),"mmm-yy")),LookupSheet!$C:$D,2,0),VLOOKUP(A99,'1_Raw_Data'!$A:$J,8,0)))</f>
        <v>Jun-2024</v>
      </c>
      <c r="I99" t="str">
        <f>IFERROR(VLOOKUP(LOWER(VLOOKUP(A99,'1_Raw_Data'!$A:$J,9,0)),LookupSheet!$E:$F,2,0),VLOOKUP(A99,'1_Raw_Data'!$A:$J,9,0))</f>
        <v>Pending</v>
      </c>
      <c r="J99" t="str">
        <f>IFERROR(IF(VLOOKUP(A99,'1_Raw_Data'!$A:$J,10,FALSE)="","",VLOOKUP(A99,'1_Raw_Data'!$A:$J,10,FALSE)),"")</f>
        <v>Re-sent</v>
      </c>
      <c r="K99" t="str">
        <f t="shared" si="2"/>
        <v>Clean</v>
      </c>
      <c r="L99">
        <f>IF(G99="GBP",1,VLOOKUP(H99,FX_Rates!$A:$B,2,0))</f>
        <v>0.84399999999999997</v>
      </c>
    </row>
    <row r="100" spans="1:12">
      <c r="A100">
        <f>IFERROR(INDEX('1_Raw_Data'!$A:$A,MATCH(ROW()-1,'1_Raw_Data'!$M:$M,0)),"")</f>
        <v>99</v>
      </c>
      <c r="B100" t="str">
        <f>IFERROR(VLOOKUP(LOWER(VLOOKUP(A100,'1_Raw_Data'!$A:$J,2,0)),LookupSheet!$A:$B,2,0),"MISSING")</f>
        <v>Netherlands</v>
      </c>
      <c r="C100" t="str">
        <f>VLOOKUP(A100,'1_Raw_Data'!$A:$J,3,0)</f>
        <v>Publicis</v>
      </c>
      <c r="D100" t="str">
        <f>VLOOKUP(A100,'1_Raw_Data'!$A:$J,4,0)</f>
        <v>Premium Tier Push</v>
      </c>
      <c r="E100" s="22">
        <f>'1_Raw_Data'!E100*L100</f>
        <v>58579.776579000005</v>
      </c>
      <c r="F100" s="22">
        <f>IF('1_Raw_Data'!F100="","MISSING",'1_Raw_Data'!F100*L100)</f>
        <v>54275.608940999999</v>
      </c>
      <c r="G100" t="str">
        <f>UPPER(SUBSTITUTE(SUBSTITUTE(VLOOKUP(A100,'1_Raw_Data'!$A:$J,7,0),"€","EUR"),"£","GBP"))</f>
        <v>EUR</v>
      </c>
      <c r="H100" t="str">
        <f>IFERROR(VLOOKUP(LOWER(VLOOKUP(A100,'1_Raw_Data'!$A:$J,8,0)),LookupSheet!$C:$D,2,0),IFERROR(VLOOKUP(LOWER(TEXT(VLOOKUP(A100,'1_Raw_Data'!$A:$J,8,0),"mmm-yy")),LookupSheet!$C:$D,2,0),VLOOKUP(A100,'1_Raw_Data'!$A:$J,8,0)))</f>
        <v>Jan-2024</v>
      </c>
      <c r="I100" t="str">
        <f>IFERROR(VLOOKUP(LOWER(VLOOKUP(A100,'1_Raw_Data'!$A:$J,9,0)),LookupSheet!$E:$F,2,0),VLOOKUP(A100,'1_Raw_Data'!$A:$J,9,0))</f>
        <v>Pending</v>
      </c>
      <c r="J100" t="str">
        <f>IFERROR(IF(VLOOKUP(A100,'1_Raw_Data'!$A:$J,10,FALSE)="","",VLOOKUP(A100,'1_Raw_Data'!$A:$J,10,FALSE)),"")</f>
        <v>Amended</v>
      </c>
      <c r="K100" t="str">
        <f t="shared" si="2"/>
        <v>Clean</v>
      </c>
      <c r="L100">
        <f>IF(G100="GBP",1,VLOOKUP(H100,FX_Rates!$A:$B,2,0))</f>
        <v>0.85709999999999997</v>
      </c>
    </row>
    <row r="101" spans="1:12">
      <c r="A101">
        <f>IFERROR(INDEX('1_Raw_Data'!$A:$A,MATCH(ROW()-1,'1_Raw_Data'!$M:$M,0)),"")</f>
        <v>100</v>
      </c>
      <c r="B101" t="str">
        <f>IFERROR(VLOOKUP(LOWER(VLOOKUP(A101,'1_Raw_Data'!$A:$J,2,0)),LookupSheet!$A:$B,2,0),"MISSING")</f>
        <v>Spain</v>
      </c>
      <c r="C101" t="str">
        <f>VLOOKUP(A101,'1_Raw_Data'!$A:$J,3,0)</f>
        <v>Mindshare</v>
      </c>
      <c r="D101" t="str">
        <f>VLOOKUP(A101,'1_Raw_Data'!$A:$J,4,0)</f>
        <v>Agency Co-op Feb</v>
      </c>
      <c r="E101" s="22">
        <f>'1_Raw_Data'!E101*L101</f>
        <v>72687.254959999991</v>
      </c>
      <c r="F101" s="22">
        <f>IF('1_Raw_Data'!F101="","MISSING",'1_Raw_Data'!F101*L101)</f>
        <v>72687.254959999991</v>
      </c>
      <c r="G101" t="str">
        <f>UPPER(SUBSTITUTE(SUBSTITUTE(VLOOKUP(A101,'1_Raw_Data'!$A:$J,7,0),"€","EUR"),"£","GBP"))</f>
        <v>EUR</v>
      </c>
      <c r="H101" t="str">
        <f>IFERROR(VLOOKUP(LOWER(VLOOKUP(A101,'1_Raw_Data'!$A:$J,8,0)),LookupSheet!$C:$D,2,0),IFERROR(VLOOKUP(LOWER(TEXT(VLOOKUP(A101,'1_Raw_Data'!$A:$J,8,0),"mmm-yy")),LookupSheet!$C:$D,2,0),VLOOKUP(A101,'1_Raw_Data'!$A:$J,8,0)))</f>
        <v>Jun-2024</v>
      </c>
      <c r="I101" t="str">
        <f>IFERROR(VLOOKUP(LOWER(VLOOKUP(A101,'1_Raw_Data'!$A:$J,9,0)),LookupSheet!$E:$F,2,0),VLOOKUP(A101,'1_Raw_Data'!$A:$J,9,0))</f>
        <v>Confirmed</v>
      </c>
      <c r="J101" t="str">
        <f>IFERROR(IF(VLOOKUP(A101,'1_Raw_Data'!$A:$J,10,FALSE)="","",VLOOKUP(A101,'1_Raw_Data'!$A:$J,10,FALSE)),"")</f>
        <v>Re-sent</v>
      </c>
      <c r="K101" t="str">
        <f t="shared" si="2"/>
        <v>Clean</v>
      </c>
      <c r="L101">
        <f>IF(G101="GBP",1,VLOOKUP(H101,FX_Rates!$A:$B,2,0))</f>
        <v>0.84399999999999997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zoomScale="74" zoomScaleNormal="100" workbookViewId="0"/>
  </sheetViews>
  <sheetFormatPr defaultRowHeight="14.4"/>
  <cols>
    <col min="1" max="3" width="22" customWidth="1"/>
    <col min="4" max="4" width="19" customWidth="1"/>
    <col min="5" max="7" width="22" customWidth="1"/>
    <col min="8" max="8" width="22" style="24" customWidth="1"/>
    <col min="9" max="9" width="22" customWidth="1"/>
  </cols>
  <sheetData>
    <row r="1" spans="1:9">
      <c r="A1" s="17" t="s">
        <v>0</v>
      </c>
      <c r="B1" s="4" t="s">
        <v>1</v>
      </c>
      <c r="C1" s="4" t="s">
        <v>2</v>
      </c>
      <c r="D1" s="4" t="s">
        <v>7</v>
      </c>
      <c r="E1" s="4" t="s">
        <v>101</v>
      </c>
      <c r="F1" s="4" t="s">
        <v>102</v>
      </c>
      <c r="G1" s="4" t="s">
        <v>106</v>
      </c>
      <c r="H1" s="23" t="s">
        <v>107</v>
      </c>
      <c r="I1" s="4" t="s">
        <v>108</v>
      </c>
    </row>
    <row r="2" spans="1:9">
      <c r="A2" s="5">
        <v>1</v>
      </c>
      <c r="B2" s="5" t="s">
        <v>16</v>
      </c>
      <c r="C2" s="5" t="s">
        <v>11</v>
      </c>
      <c r="D2" s="5" t="s">
        <v>109</v>
      </c>
      <c r="E2" s="5">
        <v>77639.350000000006</v>
      </c>
      <c r="F2" s="5">
        <v>77639.350000000006</v>
      </c>
      <c r="G2" s="5">
        <f t="shared" ref="G2:G12" si="0">F2-E2</f>
        <v>0</v>
      </c>
      <c r="H2" s="9">
        <f t="shared" ref="H2:H12" si="1">IFERROR((F2-E2)/E2,0)</f>
        <v>0</v>
      </c>
      <c r="I2" s="5" t="str">
        <f t="shared" ref="I2:I12" si="2">IF(ABS(H2)&lt;=0.01,"Match",IF(ABS(H2)&lt;=0.05,"Review","Escalate"))</f>
        <v>Match</v>
      </c>
    </row>
    <row r="3" spans="1:9">
      <c r="A3" s="5">
        <v>2</v>
      </c>
      <c r="B3" s="5" t="s">
        <v>16</v>
      </c>
      <c r="C3" s="5" t="s">
        <v>17</v>
      </c>
      <c r="D3" s="5" t="s">
        <v>110</v>
      </c>
      <c r="E3" s="5">
        <v>8426.68</v>
      </c>
      <c r="F3" s="5">
        <v>8426.68</v>
      </c>
      <c r="G3" s="5">
        <f t="shared" si="0"/>
        <v>0</v>
      </c>
      <c r="H3" s="9">
        <f t="shared" si="1"/>
        <v>0</v>
      </c>
      <c r="I3" s="5" t="str">
        <f t="shared" si="2"/>
        <v>Match</v>
      </c>
    </row>
    <row r="4" spans="1:9">
      <c r="A4" s="3">
        <v>3</v>
      </c>
      <c r="B4" s="3" t="s">
        <v>111</v>
      </c>
      <c r="C4" s="3" t="s">
        <v>20</v>
      </c>
      <c r="D4" s="3" t="s">
        <v>109</v>
      </c>
      <c r="E4" s="3">
        <v>30350.67</v>
      </c>
      <c r="F4" s="3">
        <v>29642.29</v>
      </c>
      <c r="G4" s="5">
        <f t="shared" si="0"/>
        <v>-708.37999999999738</v>
      </c>
      <c r="H4" s="9">
        <f t="shared" si="1"/>
        <v>-2.3339847192829596E-2</v>
      </c>
      <c r="I4" s="5" t="str">
        <f t="shared" si="2"/>
        <v>Review</v>
      </c>
    </row>
    <row r="5" spans="1:9">
      <c r="A5" s="5">
        <v>4</v>
      </c>
      <c r="B5" s="5" t="s">
        <v>87</v>
      </c>
      <c r="C5" s="5" t="s">
        <v>27</v>
      </c>
      <c r="D5" s="5" t="s">
        <v>112</v>
      </c>
      <c r="E5" s="5">
        <v>98968.37</v>
      </c>
      <c r="F5" s="5">
        <v>98968.37</v>
      </c>
      <c r="G5" s="5">
        <f t="shared" si="0"/>
        <v>0</v>
      </c>
      <c r="H5" s="9">
        <f t="shared" si="1"/>
        <v>0</v>
      </c>
      <c r="I5" s="5" t="str">
        <f t="shared" si="2"/>
        <v>Match</v>
      </c>
    </row>
    <row r="6" spans="1:9">
      <c r="A6" s="3">
        <v>5</v>
      </c>
      <c r="B6" s="3" t="s">
        <v>80</v>
      </c>
      <c r="C6" s="3" t="s">
        <v>32</v>
      </c>
      <c r="D6" s="3" t="s">
        <v>110</v>
      </c>
      <c r="E6" s="3">
        <v>97819.75</v>
      </c>
      <c r="F6" s="3">
        <v>93665.93</v>
      </c>
      <c r="G6" s="5">
        <f t="shared" si="0"/>
        <v>-4153.820000000007</v>
      </c>
      <c r="H6" s="9">
        <f t="shared" si="1"/>
        <v>-4.246402183608123E-2</v>
      </c>
      <c r="I6" s="5" t="str">
        <f t="shared" si="2"/>
        <v>Review</v>
      </c>
    </row>
    <row r="7" spans="1:9">
      <c r="A7" s="3">
        <v>6</v>
      </c>
      <c r="B7" s="3" t="s">
        <v>16</v>
      </c>
      <c r="C7" s="3" t="s">
        <v>32</v>
      </c>
      <c r="D7" s="3" t="s">
        <v>113</v>
      </c>
      <c r="E7" s="3">
        <v>104096.29</v>
      </c>
      <c r="F7" s="3">
        <v>100902.62</v>
      </c>
      <c r="G7" s="5">
        <f t="shared" si="0"/>
        <v>-3193.6699999999983</v>
      </c>
      <c r="H7" s="9">
        <f t="shared" si="1"/>
        <v>-3.0679959871768709E-2</v>
      </c>
      <c r="I7" s="5" t="str">
        <f t="shared" si="2"/>
        <v>Review</v>
      </c>
    </row>
    <row r="8" spans="1:9">
      <c r="A8" s="6">
        <v>7</v>
      </c>
      <c r="B8" s="6" t="s">
        <v>87</v>
      </c>
      <c r="C8" s="6" t="s">
        <v>11</v>
      </c>
      <c r="D8" s="6" t="s">
        <v>114</v>
      </c>
      <c r="E8" s="6">
        <v>36966.959999999999</v>
      </c>
      <c r="F8" s="6">
        <v>34953.67</v>
      </c>
      <c r="G8" s="5">
        <f t="shared" si="0"/>
        <v>-2013.2900000000009</v>
      </c>
      <c r="H8" s="9">
        <f t="shared" si="1"/>
        <v>-5.4461876226771171E-2</v>
      </c>
      <c r="I8" s="5" t="str">
        <f t="shared" si="2"/>
        <v>Escalate</v>
      </c>
    </row>
    <row r="9" spans="1:9">
      <c r="A9" s="6">
        <v>8</v>
      </c>
      <c r="B9" s="6" t="s">
        <v>16</v>
      </c>
      <c r="C9" s="6" t="s">
        <v>11</v>
      </c>
      <c r="D9" s="6" t="s">
        <v>112</v>
      </c>
      <c r="E9" s="6">
        <v>67099.350000000006</v>
      </c>
      <c r="F9" s="6">
        <v>62881.26</v>
      </c>
      <c r="G9" s="5">
        <f t="shared" si="0"/>
        <v>-4218.0900000000038</v>
      </c>
      <c r="H9" s="9">
        <f t="shared" si="1"/>
        <v>-6.2863351135294204E-2</v>
      </c>
      <c r="I9" s="5" t="str">
        <f t="shared" si="2"/>
        <v>Escalate</v>
      </c>
    </row>
    <row r="10" spans="1:9">
      <c r="A10" s="5">
        <v>9</v>
      </c>
      <c r="B10" s="5" t="s">
        <v>87</v>
      </c>
      <c r="C10" s="5" t="s">
        <v>47</v>
      </c>
      <c r="D10" s="5" t="s">
        <v>114</v>
      </c>
      <c r="E10" s="5">
        <v>93356.06</v>
      </c>
      <c r="F10" s="5">
        <v>93356.06</v>
      </c>
      <c r="G10" s="5">
        <f t="shared" si="0"/>
        <v>0</v>
      </c>
      <c r="H10" s="9">
        <f t="shared" si="1"/>
        <v>0</v>
      </c>
      <c r="I10" s="5" t="str">
        <f t="shared" si="2"/>
        <v>Match</v>
      </c>
    </row>
    <row r="11" spans="1:9">
      <c r="A11" s="3">
        <v>10</v>
      </c>
      <c r="B11" s="3" t="s">
        <v>69</v>
      </c>
      <c r="C11" s="3" t="s">
        <v>51</v>
      </c>
      <c r="D11" s="3" t="s">
        <v>112</v>
      </c>
      <c r="E11" s="3">
        <v>97553.77</v>
      </c>
      <c r="F11" s="3">
        <v>100678.17</v>
      </c>
      <c r="G11" s="5">
        <f t="shared" si="0"/>
        <v>3124.3999999999942</v>
      </c>
      <c r="H11" s="9">
        <f t="shared" si="1"/>
        <v>3.2027465468530782E-2</v>
      </c>
      <c r="I11" s="5" t="str">
        <f t="shared" si="2"/>
        <v>Review</v>
      </c>
    </row>
    <row r="12" spans="1:9">
      <c r="A12" s="3">
        <v>11</v>
      </c>
      <c r="B12" s="3" t="s">
        <v>87</v>
      </c>
      <c r="C12" s="3" t="s">
        <v>27</v>
      </c>
      <c r="D12" s="3" t="s">
        <v>112</v>
      </c>
      <c r="E12" s="3">
        <v>90673.73</v>
      </c>
      <c r="F12" s="3">
        <v>88161.25</v>
      </c>
      <c r="G12" s="5">
        <f t="shared" si="0"/>
        <v>-2512.4799999999959</v>
      </c>
      <c r="H12" s="9">
        <f t="shared" si="1"/>
        <v>-2.7709017815854671E-2</v>
      </c>
      <c r="I12" s="5" t="str">
        <f t="shared" si="2"/>
        <v>Review</v>
      </c>
    </row>
    <row r="13" spans="1:9">
      <c r="A13" s="27">
        <v>12</v>
      </c>
      <c r="B13" s="27" t="s">
        <v>75</v>
      </c>
      <c r="C13" s="27" t="s">
        <v>20</v>
      </c>
      <c r="D13" s="28" t="s">
        <v>109</v>
      </c>
      <c r="E13" s="27">
        <v>13193.57</v>
      </c>
      <c r="F13" s="27" t="s">
        <v>115</v>
      </c>
      <c r="G13" s="27" t="s">
        <v>116</v>
      </c>
      <c r="H13" s="29" t="s">
        <v>116</v>
      </c>
      <c r="I13" s="27" t="s">
        <v>117</v>
      </c>
    </row>
    <row r="14" spans="1:9">
      <c r="A14" s="3">
        <v>13</v>
      </c>
      <c r="B14" s="3" t="s">
        <v>16</v>
      </c>
      <c r="C14" s="3" t="s">
        <v>11</v>
      </c>
      <c r="D14" s="3" t="s">
        <v>110</v>
      </c>
      <c r="E14" s="3">
        <v>48886.22</v>
      </c>
      <c r="F14" s="3">
        <v>51185.73</v>
      </c>
      <c r="G14" s="5">
        <f t="shared" ref="G14:G34" si="3">F14-E14</f>
        <v>2299.510000000002</v>
      </c>
      <c r="H14" s="9">
        <f t="shared" ref="H14:H34" si="4">IFERROR((F14-E14)/E14,0)</f>
        <v>4.7037999665345408E-2</v>
      </c>
      <c r="I14" s="5" t="str">
        <f t="shared" ref="I14:I34" si="5">IF(ABS(H14)&lt;=0.01,"Match",IF(ABS(H14)&lt;=0.05,"Review","Escalate"))</f>
        <v>Review</v>
      </c>
    </row>
    <row r="15" spans="1:9">
      <c r="A15" s="5">
        <v>14</v>
      </c>
      <c r="B15" s="5" t="s">
        <v>87</v>
      </c>
      <c r="C15" s="5" t="s">
        <v>47</v>
      </c>
      <c r="D15" s="5" t="s">
        <v>113</v>
      </c>
      <c r="E15" s="5">
        <v>38752.51</v>
      </c>
      <c r="F15" s="5">
        <v>38752.51</v>
      </c>
      <c r="G15" s="5">
        <f t="shared" si="3"/>
        <v>0</v>
      </c>
      <c r="H15" s="9">
        <f t="shared" si="4"/>
        <v>0</v>
      </c>
      <c r="I15" s="5" t="str">
        <f t="shared" si="5"/>
        <v>Match</v>
      </c>
    </row>
    <row r="16" spans="1:9">
      <c r="A16" s="3">
        <v>15</v>
      </c>
      <c r="B16" s="3" t="s">
        <v>98</v>
      </c>
      <c r="C16" s="3" t="s">
        <v>11</v>
      </c>
      <c r="D16" s="3" t="s">
        <v>109</v>
      </c>
      <c r="E16" s="3">
        <v>66142.19</v>
      </c>
      <c r="F16" s="3">
        <v>69154.06</v>
      </c>
      <c r="G16" s="5">
        <f t="shared" si="3"/>
        <v>3011.8699999999953</v>
      </c>
      <c r="H16" s="9">
        <f t="shared" si="4"/>
        <v>4.5536290830406362E-2</v>
      </c>
      <c r="I16" s="5" t="str">
        <f t="shared" si="5"/>
        <v>Review</v>
      </c>
    </row>
    <row r="17" spans="1:9">
      <c r="A17" s="5">
        <v>16</v>
      </c>
      <c r="B17" s="5" t="s">
        <v>98</v>
      </c>
      <c r="C17" s="5" t="s">
        <v>20</v>
      </c>
      <c r="D17" s="5" t="s">
        <v>109</v>
      </c>
      <c r="E17" s="5">
        <v>5065.7700000000004</v>
      </c>
      <c r="F17" s="5">
        <v>5065.7700000000004</v>
      </c>
      <c r="G17" s="5">
        <f t="shared" si="3"/>
        <v>0</v>
      </c>
      <c r="H17" s="9">
        <f t="shared" si="4"/>
        <v>0</v>
      </c>
      <c r="I17" s="5" t="str">
        <f t="shared" si="5"/>
        <v>Match</v>
      </c>
    </row>
    <row r="18" spans="1:9">
      <c r="A18" s="3">
        <v>17</v>
      </c>
      <c r="B18" s="3" t="s">
        <v>87</v>
      </c>
      <c r="C18" s="3" t="s">
        <v>64</v>
      </c>
      <c r="D18" s="3" t="s">
        <v>110</v>
      </c>
      <c r="E18" s="3">
        <v>91135.15</v>
      </c>
      <c r="F18" s="3">
        <v>92592.92</v>
      </c>
      <c r="G18" s="5">
        <f t="shared" si="3"/>
        <v>1457.7700000000041</v>
      </c>
      <c r="H18" s="9">
        <f t="shared" si="4"/>
        <v>1.599569430675216E-2</v>
      </c>
      <c r="I18" s="5" t="str">
        <f t="shared" si="5"/>
        <v>Review</v>
      </c>
    </row>
    <row r="19" spans="1:9">
      <c r="A19" s="3">
        <v>18</v>
      </c>
      <c r="B19" s="3" t="s">
        <v>75</v>
      </c>
      <c r="C19" s="3" t="s">
        <v>65</v>
      </c>
      <c r="D19" s="3" t="s">
        <v>118</v>
      </c>
      <c r="E19" s="3">
        <v>20631.060000000001</v>
      </c>
      <c r="F19" s="3">
        <v>19856.599999999999</v>
      </c>
      <c r="G19" s="5">
        <f t="shared" si="3"/>
        <v>-774.46000000000276</v>
      </c>
      <c r="H19" s="9">
        <f t="shared" si="4"/>
        <v>-3.7538546250168565E-2</v>
      </c>
      <c r="I19" s="5" t="str">
        <f t="shared" si="5"/>
        <v>Review</v>
      </c>
    </row>
    <row r="20" spans="1:9">
      <c r="A20" s="5">
        <v>19</v>
      </c>
      <c r="B20" s="5" t="s">
        <v>68</v>
      </c>
      <c r="C20" s="5" t="s">
        <v>47</v>
      </c>
      <c r="D20" s="5" t="s">
        <v>113</v>
      </c>
      <c r="E20" s="5">
        <v>93271.83</v>
      </c>
      <c r="F20" s="5">
        <v>93271.83</v>
      </c>
      <c r="G20" s="5">
        <f t="shared" si="3"/>
        <v>0</v>
      </c>
      <c r="H20" s="9">
        <f t="shared" si="4"/>
        <v>0</v>
      </c>
      <c r="I20" s="5" t="str">
        <f t="shared" si="5"/>
        <v>Match</v>
      </c>
    </row>
    <row r="21" spans="1:9">
      <c r="A21" s="5">
        <v>20</v>
      </c>
      <c r="B21" s="5" t="s">
        <v>69</v>
      </c>
      <c r="C21" s="5" t="s">
        <v>32</v>
      </c>
      <c r="D21" s="5" t="s">
        <v>110</v>
      </c>
      <c r="E21" s="5">
        <v>27058.34</v>
      </c>
      <c r="F21" s="5">
        <v>27058.34</v>
      </c>
      <c r="G21" s="5">
        <f t="shared" si="3"/>
        <v>0</v>
      </c>
      <c r="H21" s="9">
        <f t="shared" si="4"/>
        <v>0</v>
      </c>
      <c r="I21" s="5" t="str">
        <f t="shared" si="5"/>
        <v>Match</v>
      </c>
    </row>
    <row r="22" spans="1:9">
      <c r="A22" s="5">
        <v>21</v>
      </c>
      <c r="B22" s="5" t="s">
        <v>69</v>
      </c>
      <c r="C22" s="5" t="s">
        <v>47</v>
      </c>
      <c r="D22" s="5" t="s">
        <v>113</v>
      </c>
      <c r="E22" s="5">
        <v>55150.04</v>
      </c>
      <c r="F22" s="5">
        <v>55150.04</v>
      </c>
      <c r="G22" s="5">
        <f t="shared" si="3"/>
        <v>0</v>
      </c>
      <c r="H22" s="9">
        <f t="shared" si="4"/>
        <v>0</v>
      </c>
      <c r="I22" s="5" t="str">
        <f t="shared" si="5"/>
        <v>Match</v>
      </c>
    </row>
    <row r="23" spans="1:9">
      <c r="A23" s="5">
        <v>22</v>
      </c>
      <c r="B23" s="5" t="s">
        <v>16</v>
      </c>
      <c r="C23" s="5" t="s">
        <v>32</v>
      </c>
      <c r="D23" s="5" t="s">
        <v>113</v>
      </c>
      <c r="E23" s="5">
        <v>32944.68</v>
      </c>
      <c r="F23" s="5">
        <v>32944.68</v>
      </c>
      <c r="G23" s="5">
        <f t="shared" si="3"/>
        <v>0</v>
      </c>
      <c r="H23" s="9">
        <f t="shared" si="4"/>
        <v>0</v>
      </c>
      <c r="I23" s="5" t="str">
        <f t="shared" si="5"/>
        <v>Match</v>
      </c>
    </row>
    <row r="24" spans="1:9">
      <c r="A24" s="3">
        <v>23</v>
      </c>
      <c r="B24" s="3" t="s">
        <v>68</v>
      </c>
      <c r="C24" s="3" t="s">
        <v>47</v>
      </c>
      <c r="D24" s="3" t="s">
        <v>110</v>
      </c>
      <c r="E24" s="3">
        <v>44958.01</v>
      </c>
      <c r="F24" s="3">
        <v>45578.07</v>
      </c>
      <c r="G24" s="5">
        <f t="shared" si="3"/>
        <v>620.05999999999767</v>
      </c>
      <c r="H24" s="9">
        <f t="shared" si="4"/>
        <v>1.3791980561417146E-2</v>
      </c>
      <c r="I24" s="5" t="str">
        <f t="shared" si="5"/>
        <v>Review</v>
      </c>
    </row>
    <row r="25" spans="1:9">
      <c r="A25" s="5">
        <v>24</v>
      </c>
      <c r="B25" s="5" t="s">
        <v>75</v>
      </c>
      <c r="C25" s="5" t="s">
        <v>51</v>
      </c>
      <c r="D25" s="5" t="s">
        <v>109</v>
      </c>
      <c r="E25" s="5">
        <v>26874.02</v>
      </c>
      <c r="F25" s="5">
        <v>26874.02</v>
      </c>
      <c r="G25" s="5">
        <f t="shared" si="3"/>
        <v>0</v>
      </c>
      <c r="H25" s="9">
        <f t="shared" si="4"/>
        <v>0</v>
      </c>
      <c r="I25" s="5" t="str">
        <f t="shared" si="5"/>
        <v>Match</v>
      </c>
    </row>
    <row r="26" spans="1:9">
      <c r="A26" s="3">
        <v>25</v>
      </c>
      <c r="B26" s="3" t="s">
        <v>87</v>
      </c>
      <c r="C26" s="3" t="s">
        <v>11</v>
      </c>
      <c r="D26" s="3" t="s">
        <v>110</v>
      </c>
      <c r="E26" s="3">
        <v>97922.559999999998</v>
      </c>
      <c r="F26" s="3">
        <v>99572.91</v>
      </c>
      <c r="G26" s="5">
        <f t="shared" si="3"/>
        <v>1650.3500000000058</v>
      </c>
      <c r="H26" s="9">
        <f t="shared" si="4"/>
        <v>1.685362392486477E-2</v>
      </c>
      <c r="I26" s="5" t="str">
        <f t="shared" si="5"/>
        <v>Review</v>
      </c>
    </row>
    <row r="27" spans="1:9">
      <c r="A27" s="6">
        <v>26</v>
      </c>
      <c r="B27" s="6" t="s">
        <v>75</v>
      </c>
      <c r="C27" s="6" t="s">
        <v>17</v>
      </c>
      <c r="D27" s="6" t="s">
        <v>112</v>
      </c>
      <c r="E27" s="6">
        <v>51906.35</v>
      </c>
      <c r="F27" s="6">
        <v>55704.39</v>
      </c>
      <c r="G27" s="5">
        <f t="shared" si="3"/>
        <v>3798.0400000000009</v>
      </c>
      <c r="H27" s="9">
        <f t="shared" si="4"/>
        <v>7.3171008942065879E-2</v>
      </c>
      <c r="I27" s="5" t="str">
        <f t="shared" si="5"/>
        <v>Escalate</v>
      </c>
    </row>
    <row r="28" spans="1:9">
      <c r="A28" s="6">
        <v>27</v>
      </c>
      <c r="B28" s="6" t="s">
        <v>87</v>
      </c>
      <c r="C28" s="6" t="s">
        <v>65</v>
      </c>
      <c r="D28" s="6" t="s">
        <v>118</v>
      </c>
      <c r="E28" s="6">
        <v>53645.86</v>
      </c>
      <c r="F28" s="6">
        <v>57920.34</v>
      </c>
      <c r="G28" s="5">
        <f t="shared" si="3"/>
        <v>4274.4799999999959</v>
      </c>
      <c r="H28" s="9">
        <f t="shared" si="4"/>
        <v>7.9679587576748617E-2</v>
      </c>
      <c r="I28" s="5" t="str">
        <f t="shared" si="5"/>
        <v>Escalate</v>
      </c>
    </row>
    <row r="29" spans="1:9">
      <c r="A29" s="3">
        <v>28</v>
      </c>
      <c r="B29" s="3" t="s">
        <v>80</v>
      </c>
      <c r="C29" s="3" t="s">
        <v>51</v>
      </c>
      <c r="D29" s="3" t="s">
        <v>110</v>
      </c>
      <c r="E29" s="3">
        <v>71605.73</v>
      </c>
      <c r="F29" s="3">
        <v>69626.429999999993</v>
      </c>
      <c r="G29" s="5">
        <f t="shared" si="3"/>
        <v>-1979.3000000000029</v>
      </c>
      <c r="H29" s="9">
        <f t="shared" si="4"/>
        <v>-2.7641642645078866E-2</v>
      </c>
      <c r="I29" s="5" t="str">
        <f t="shared" si="5"/>
        <v>Review</v>
      </c>
    </row>
    <row r="30" spans="1:9">
      <c r="A30" s="3">
        <v>29</v>
      </c>
      <c r="B30" s="3" t="s">
        <v>98</v>
      </c>
      <c r="C30" s="3" t="s">
        <v>20</v>
      </c>
      <c r="D30" s="3" t="s">
        <v>110</v>
      </c>
      <c r="E30" s="3">
        <v>9925.39</v>
      </c>
      <c r="F30" s="3">
        <v>9722.85</v>
      </c>
      <c r="G30" s="5">
        <f t="shared" si="3"/>
        <v>-202.53999999999905</v>
      </c>
      <c r="H30" s="9">
        <f t="shared" si="4"/>
        <v>-2.0406251039001899E-2</v>
      </c>
      <c r="I30" s="5" t="str">
        <f t="shared" si="5"/>
        <v>Review</v>
      </c>
    </row>
    <row r="31" spans="1:9">
      <c r="A31" s="5">
        <v>30</v>
      </c>
      <c r="B31" s="5" t="s">
        <v>75</v>
      </c>
      <c r="C31" s="5" t="s">
        <v>32</v>
      </c>
      <c r="D31" s="5" t="s">
        <v>112</v>
      </c>
      <c r="E31" s="5">
        <v>61555.09</v>
      </c>
      <c r="F31" s="5">
        <v>61555.09</v>
      </c>
      <c r="G31" s="5">
        <f t="shared" si="3"/>
        <v>0</v>
      </c>
      <c r="H31" s="9">
        <f t="shared" si="4"/>
        <v>0</v>
      </c>
      <c r="I31" s="5" t="str">
        <f t="shared" si="5"/>
        <v>Match</v>
      </c>
    </row>
    <row r="32" spans="1:9">
      <c r="A32" s="6">
        <v>31</v>
      </c>
      <c r="B32" s="6" t="s">
        <v>98</v>
      </c>
      <c r="C32" s="6" t="s">
        <v>47</v>
      </c>
      <c r="D32" s="6" t="s">
        <v>112</v>
      </c>
      <c r="E32" s="6">
        <v>30089.72</v>
      </c>
      <c r="F32" s="6">
        <v>28344.3</v>
      </c>
      <c r="G32" s="5">
        <f t="shared" si="3"/>
        <v>-1745.4200000000019</v>
      </c>
      <c r="H32" s="9">
        <f t="shared" si="4"/>
        <v>-5.8007186507551475E-2</v>
      </c>
      <c r="I32" s="5" t="str">
        <f t="shared" si="5"/>
        <v>Escalate</v>
      </c>
    </row>
    <row r="33" spans="1:9">
      <c r="A33" s="5">
        <v>32</v>
      </c>
      <c r="B33" s="5" t="s">
        <v>68</v>
      </c>
      <c r="C33" s="5" t="s">
        <v>47</v>
      </c>
      <c r="D33" s="5" t="s">
        <v>109</v>
      </c>
      <c r="E33" s="5">
        <v>78659.399999999994</v>
      </c>
      <c r="F33" s="5">
        <v>78659.399999999994</v>
      </c>
      <c r="G33" s="5">
        <f t="shared" si="3"/>
        <v>0</v>
      </c>
      <c r="H33" s="9">
        <f t="shared" si="4"/>
        <v>0</v>
      </c>
      <c r="I33" s="5" t="str">
        <f t="shared" si="5"/>
        <v>Match</v>
      </c>
    </row>
    <row r="34" spans="1:9">
      <c r="A34" s="5">
        <v>33</v>
      </c>
      <c r="B34" s="5" t="s">
        <v>87</v>
      </c>
      <c r="C34" s="5" t="s">
        <v>20</v>
      </c>
      <c r="D34" s="5" t="s">
        <v>113</v>
      </c>
      <c r="E34" s="5">
        <v>17399.96</v>
      </c>
      <c r="F34" s="5">
        <v>17399.96</v>
      </c>
      <c r="G34" s="5">
        <f t="shared" si="3"/>
        <v>0</v>
      </c>
      <c r="H34" s="9">
        <f t="shared" si="4"/>
        <v>0</v>
      </c>
      <c r="I34" s="5" t="str">
        <f t="shared" si="5"/>
        <v>Match</v>
      </c>
    </row>
    <row r="35" spans="1:9">
      <c r="A35" s="27">
        <v>34</v>
      </c>
      <c r="B35" s="27" t="s">
        <v>75</v>
      </c>
      <c r="C35" s="27" t="s">
        <v>65</v>
      </c>
      <c r="D35" s="28" t="s">
        <v>110</v>
      </c>
      <c r="E35" s="27">
        <v>67470.070000000007</v>
      </c>
      <c r="F35" s="27" t="s">
        <v>115</v>
      </c>
      <c r="G35" s="27" t="s">
        <v>116</v>
      </c>
      <c r="H35" s="29" t="s">
        <v>116</v>
      </c>
      <c r="I35" s="27" t="s">
        <v>117</v>
      </c>
    </row>
    <row r="36" spans="1:9">
      <c r="A36" s="5">
        <v>35</v>
      </c>
      <c r="B36" s="5" t="s">
        <v>75</v>
      </c>
      <c r="C36" s="5" t="s">
        <v>27</v>
      </c>
      <c r="D36" s="5" t="s">
        <v>109</v>
      </c>
      <c r="E36" s="5">
        <v>18274.3</v>
      </c>
      <c r="F36" s="5">
        <v>18274.3</v>
      </c>
      <c r="G36" s="5">
        <f t="shared" ref="G36:G56" si="6">F36-E36</f>
        <v>0</v>
      </c>
      <c r="H36" s="9">
        <f t="shared" ref="H36:H56" si="7">IFERROR((F36-E36)/E36,0)</f>
        <v>0</v>
      </c>
      <c r="I36" s="5" t="str">
        <f t="shared" ref="I36:I56" si="8">IF(ABS(H36)&lt;=0.01,"Match",IF(ABS(H36)&lt;=0.05,"Review","Escalate"))</f>
        <v>Match</v>
      </c>
    </row>
    <row r="37" spans="1:9">
      <c r="A37" s="3">
        <v>36</v>
      </c>
      <c r="B37" s="3" t="s">
        <v>16</v>
      </c>
      <c r="C37" s="3" t="s">
        <v>51</v>
      </c>
      <c r="D37" s="3" t="s">
        <v>118</v>
      </c>
      <c r="E37" s="3">
        <v>44431.23</v>
      </c>
      <c r="F37" s="3">
        <v>43529.45</v>
      </c>
      <c r="G37" s="5">
        <f t="shared" si="6"/>
        <v>-901.78000000000611</v>
      </c>
      <c r="H37" s="9">
        <f t="shared" si="7"/>
        <v>-2.0296084533334008E-2</v>
      </c>
      <c r="I37" s="5" t="str">
        <f t="shared" si="8"/>
        <v>Review</v>
      </c>
    </row>
    <row r="38" spans="1:9">
      <c r="A38" s="5">
        <v>37</v>
      </c>
      <c r="B38" s="5" t="s">
        <v>69</v>
      </c>
      <c r="C38" s="5" t="s">
        <v>17</v>
      </c>
      <c r="D38" s="5" t="s">
        <v>113</v>
      </c>
      <c r="E38" s="5">
        <v>31663.68</v>
      </c>
      <c r="F38" s="5">
        <v>31663.68</v>
      </c>
      <c r="G38" s="5">
        <f t="shared" si="6"/>
        <v>0</v>
      </c>
      <c r="H38" s="9">
        <f t="shared" si="7"/>
        <v>0</v>
      </c>
      <c r="I38" s="5" t="str">
        <f t="shared" si="8"/>
        <v>Match</v>
      </c>
    </row>
    <row r="39" spans="1:9">
      <c r="A39" s="5">
        <v>38</v>
      </c>
      <c r="B39" s="5" t="s">
        <v>98</v>
      </c>
      <c r="C39" s="5" t="s">
        <v>17</v>
      </c>
      <c r="D39" s="5" t="s">
        <v>118</v>
      </c>
      <c r="E39" s="5">
        <v>5256.34</v>
      </c>
      <c r="F39" s="5">
        <v>5256.34</v>
      </c>
      <c r="G39" s="5">
        <f t="shared" si="6"/>
        <v>0</v>
      </c>
      <c r="H39" s="9">
        <f t="shared" si="7"/>
        <v>0</v>
      </c>
      <c r="I39" s="5" t="str">
        <f t="shared" si="8"/>
        <v>Match</v>
      </c>
    </row>
    <row r="40" spans="1:9">
      <c r="A40" s="5">
        <v>39</v>
      </c>
      <c r="B40" s="5" t="s">
        <v>16</v>
      </c>
      <c r="C40" s="5" t="s">
        <v>20</v>
      </c>
      <c r="D40" s="5" t="s">
        <v>110</v>
      </c>
      <c r="E40" s="5">
        <v>54425.47</v>
      </c>
      <c r="F40" s="5">
        <v>54425.47</v>
      </c>
      <c r="G40" s="5">
        <f t="shared" si="6"/>
        <v>0</v>
      </c>
      <c r="H40" s="9">
        <f t="shared" si="7"/>
        <v>0</v>
      </c>
      <c r="I40" s="5" t="str">
        <f t="shared" si="8"/>
        <v>Match</v>
      </c>
    </row>
    <row r="41" spans="1:9">
      <c r="A41" s="3">
        <v>40</v>
      </c>
      <c r="B41" s="3" t="s">
        <v>87</v>
      </c>
      <c r="C41" s="3" t="s">
        <v>11</v>
      </c>
      <c r="D41" s="3" t="s">
        <v>109</v>
      </c>
      <c r="E41" s="3">
        <v>81453.5</v>
      </c>
      <c r="F41" s="3">
        <v>84585.09</v>
      </c>
      <c r="G41" s="5">
        <f t="shared" si="6"/>
        <v>3131.5899999999965</v>
      </c>
      <c r="H41" s="9">
        <f t="shared" si="7"/>
        <v>3.8446352827073073E-2</v>
      </c>
      <c r="I41" s="5" t="str">
        <f t="shared" si="8"/>
        <v>Review</v>
      </c>
    </row>
    <row r="42" spans="1:9">
      <c r="A42" s="6">
        <v>41</v>
      </c>
      <c r="B42" s="6" t="s">
        <v>75</v>
      </c>
      <c r="C42" s="6" t="s">
        <v>17</v>
      </c>
      <c r="D42" s="6" t="s">
        <v>113</v>
      </c>
      <c r="E42" s="6">
        <v>25626.48</v>
      </c>
      <c r="F42" s="6">
        <v>27286.23</v>
      </c>
      <c r="G42" s="5">
        <f t="shared" si="6"/>
        <v>1659.75</v>
      </c>
      <c r="H42" s="9">
        <f t="shared" si="7"/>
        <v>6.4766991018665065E-2</v>
      </c>
      <c r="I42" s="5" t="str">
        <f t="shared" si="8"/>
        <v>Escalate</v>
      </c>
    </row>
    <row r="43" spans="1:9">
      <c r="A43" s="5">
        <v>42</v>
      </c>
      <c r="B43" s="5" t="s">
        <v>75</v>
      </c>
      <c r="C43" s="5" t="s">
        <v>17</v>
      </c>
      <c r="D43" s="5" t="s">
        <v>112</v>
      </c>
      <c r="E43" s="5">
        <v>8129.86</v>
      </c>
      <c r="F43" s="5">
        <v>8129.86</v>
      </c>
      <c r="G43" s="5">
        <f t="shared" si="6"/>
        <v>0</v>
      </c>
      <c r="H43" s="9">
        <f t="shared" si="7"/>
        <v>0</v>
      </c>
      <c r="I43" s="5" t="str">
        <f t="shared" si="8"/>
        <v>Match</v>
      </c>
    </row>
    <row r="44" spans="1:9">
      <c r="A44" s="5">
        <v>43</v>
      </c>
      <c r="B44" s="5" t="s">
        <v>87</v>
      </c>
      <c r="C44" s="5" t="s">
        <v>51</v>
      </c>
      <c r="D44" s="5" t="s">
        <v>110</v>
      </c>
      <c r="E44" s="5">
        <v>69577.289999999994</v>
      </c>
      <c r="F44" s="5">
        <v>69577.289999999994</v>
      </c>
      <c r="G44" s="5">
        <f t="shared" si="6"/>
        <v>0</v>
      </c>
      <c r="H44" s="9">
        <f t="shared" si="7"/>
        <v>0</v>
      </c>
      <c r="I44" s="5" t="str">
        <f t="shared" si="8"/>
        <v>Match</v>
      </c>
    </row>
    <row r="45" spans="1:9">
      <c r="A45" s="3">
        <v>44</v>
      </c>
      <c r="B45" s="3" t="s">
        <v>16</v>
      </c>
      <c r="C45" s="3" t="s">
        <v>20</v>
      </c>
      <c r="D45" s="3" t="s">
        <v>109</v>
      </c>
      <c r="E45" s="3">
        <v>83144.58</v>
      </c>
      <c r="F45" s="3">
        <v>85903.360000000001</v>
      </c>
      <c r="G45" s="5">
        <f t="shared" si="6"/>
        <v>2758.7799999999988</v>
      </c>
      <c r="H45" s="9">
        <f t="shared" si="7"/>
        <v>3.3180515194135313E-2</v>
      </c>
      <c r="I45" s="5" t="str">
        <f t="shared" si="8"/>
        <v>Review</v>
      </c>
    </row>
    <row r="46" spans="1:9">
      <c r="A46" s="5">
        <v>45</v>
      </c>
      <c r="B46" s="5" t="s">
        <v>16</v>
      </c>
      <c r="C46" s="5" t="s">
        <v>91</v>
      </c>
      <c r="D46" s="5" t="s">
        <v>112</v>
      </c>
      <c r="E46" s="5">
        <v>17466.29</v>
      </c>
      <c r="F46" s="5">
        <v>17466.29</v>
      </c>
      <c r="G46" s="5">
        <f t="shared" si="6"/>
        <v>0</v>
      </c>
      <c r="H46" s="9">
        <f t="shared" si="7"/>
        <v>0</v>
      </c>
      <c r="I46" s="5" t="str">
        <f t="shared" si="8"/>
        <v>Match</v>
      </c>
    </row>
    <row r="47" spans="1:9">
      <c r="A47" s="5">
        <v>46</v>
      </c>
      <c r="B47" s="5" t="s">
        <v>75</v>
      </c>
      <c r="C47" s="5" t="s">
        <v>17</v>
      </c>
      <c r="D47" s="5" t="s">
        <v>110</v>
      </c>
      <c r="E47" s="5">
        <v>71307.63</v>
      </c>
      <c r="F47" s="5">
        <v>71307.63</v>
      </c>
      <c r="G47" s="5">
        <f t="shared" si="6"/>
        <v>0</v>
      </c>
      <c r="H47" s="9">
        <f t="shared" si="7"/>
        <v>0</v>
      </c>
      <c r="I47" s="5" t="str">
        <f t="shared" si="8"/>
        <v>Match</v>
      </c>
    </row>
    <row r="48" spans="1:9">
      <c r="A48" s="6">
        <v>47</v>
      </c>
      <c r="B48" s="6" t="s">
        <v>87</v>
      </c>
      <c r="C48" s="6" t="s">
        <v>47</v>
      </c>
      <c r="D48" s="6" t="s">
        <v>109</v>
      </c>
      <c r="E48" s="6">
        <v>13046.99</v>
      </c>
      <c r="F48" s="6">
        <v>12304.8</v>
      </c>
      <c r="G48" s="5">
        <f t="shared" si="6"/>
        <v>-742.19000000000051</v>
      </c>
      <c r="H48" s="9">
        <f t="shared" si="7"/>
        <v>-5.688591774807833E-2</v>
      </c>
      <c r="I48" s="5" t="str">
        <f t="shared" si="8"/>
        <v>Escalate</v>
      </c>
    </row>
    <row r="49" spans="1:9">
      <c r="A49" s="5">
        <v>48</v>
      </c>
      <c r="B49" s="5" t="s">
        <v>80</v>
      </c>
      <c r="C49" s="5" t="s">
        <v>17</v>
      </c>
      <c r="D49" s="5" t="s">
        <v>113</v>
      </c>
      <c r="E49" s="5">
        <v>44097.39</v>
      </c>
      <c r="F49" s="5">
        <v>44097.39</v>
      </c>
      <c r="G49" s="5">
        <f t="shared" si="6"/>
        <v>0</v>
      </c>
      <c r="H49" s="9">
        <f t="shared" si="7"/>
        <v>0</v>
      </c>
      <c r="I49" s="5" t="str">
        <f t="shared" si="8"/>
        <v>Match</v>
      </c>
    </row>
    <row r="50" spans="1:9">
      <c r="A50" s="6">
        <v>49</v>
      </c>
      <c r="B50" s="6" t="s">
        <v>75</v>
      </c>
      <c r="C50" s="6" t="s">
        <v>32</v>
      </c>
      <c r="D50" s="6" t="s">
        <v>113</v>
      </c>
      <c r="E50" s="6">
        <v>34063.949999999997</v>
      </c>
      <c r="F50" s="6">
        <v>31339.8</v>
      </c>
      <c r="G50" s="5">
        <f t="shared" si="6"/>
        <v>-2724.1499999999978</v>
      </c>
      <c r="H50" s="9">
        <f t="shared" si="7"/>
        <v>-7.9971641574156788E-2</v>
      </c>
      <c r="I50" s="5" t="str">
        <f t="shared" si="8"/>
        <v>Escalate</v>
      </c>
    </row>
    <row r="51" spans="1:9">
      <c r="A51" s="3">
        <v>50</v>
      </c>
      <c r="B51" s="3" t="s">
        <v>16</v>
      </c>
      <c r="C51" s="3" t="s">
        <v>47</v>
      </c>
      <c r="D51" s="3" t="s">
        <v>110</v>
      </c>
      <c r="E51" s="3">
        <v>47992.639999999999</v>
      </c>
      <c r="F51" s="3">
        <v>45870.51</v>
      </c>
      <c r="G51" s="5">
        <f t="shared" si="6"/>
        <v>-2122.1299999999974</v>
      </c>
      <c r="H51" s="9">
        <f t="shared" si="7"/>
        <v>-4.421782173266562E-2</v>
      </c>
      <c r="I51" s="5" t="str">
        <f t="shared" si="8"/>
        <v>Review</v>
      </c>
    </row>
    <row r="52" spans="1:9">
      <c r="A52" s="3">
        <v>51</v>
      </c>
      <c r="B52" s="3" t="s">
        <v>16</v>
      </c>
      <c r="C52" s="3" t="s">
        <v>32</v>
      </c>
      <c r="D52" s="3" t="s">
        <v>113</v>
      </c>
      <c r="E52" s="3">
        <v>13536</v>
      </c>
      <c r="F52" s="3">
        <v>13893.9</v>
      </c>
      <c r="G52" s="5">
        <f t="shared" si="6"/>
        <v>357.89999999999964</v>
      </c>
      <c r="H52" s="9">
        <f t="shared" si="7"/>
        <v>2.6440602836879407E-2</v>
      </c>
      <c r="I52" s="5" t="str">
        <f t="shared" si="8"/>
        <v>Review</v>
      </c>
    </row>
    <row r="53" spans="1:9">
      <c r="A53" s="3">
        <v>52</v>
      </c>
      <c r="B53" s="3" t="s">
        <v>69</v>
      </c>
      <c r="C53" s="3" t="s">
        <v>64</v>
      </c>
      <c r="D53" s="3" t="s">
        <v>112</v>
      </c>
      <c r="E53" s="3">
        <v>101611.27</v>
      </c>
      <c r="F53" s="3">
        <v>98948.47</v>
      </c>
      <c r="G53" s="5">
        <f t="shared" si="6"/>
        <v>-2662.8000000000029</v>
      </c>
      <c r="H53" s="9">
        <f t="shared" si="7"/>
        <v>-2.6205754538842028E-2</v>
      </c>
      <c r="I53" s="5" t="str">
        <f t="shared" si="8"/>
        <v>Review</v>
      </c>
    </row>
    <row r="54" spans="1:9">
      <c r="A54" s="6">
        <v>53</v>
      </c>
      <c r="B54" s="6" t="s">
        <v>68</v>
      </c>
      <c r="C54" s="6" t="s">
        <v>65</v>
      </c>
      <c r="D54" s="6" t="s">
        <v>112</v>
      </c>
      <c r="E54" s="6">
        <v>28430.06</v>
      </c>
      <c r="F54" s="6">
        <v>26166.69</v>
      </c>
      <c r="G54" s="5">
        <f t="shared" si="6"/>
        <v>-2263.3700000000026</v>
      </c>
      <c r="H54" s="9">
        <f t="shared" si="7"/>
        <v>-7.9611861529662709E-2</v>
      </c>
      <c r="I54" s="5" t="str">
        <f t="shared" si="8"/>
        <v>Escalate</v>
      </c>
    </row>
    <row r="55" spans="1:9">
      <c r="A55" s="3">
        <v>54</v>
      </c>
      <c r="B55" s="3" t="s">
        <v>98</v>
      </c>
      <c r="C55" s="3" t="s">
        <v>65</v>
      </c>
      <c r="D55" s="3" t="s">
        <v>112</v>
      </c>
      <c r="E55" s="3">
        <v>59427.44</v>
      </c>
      <c r="F55" s="3">
        <v>60526.55</v>
      </c>
      <c r="G55" s="5">
        <f t="shared" si="6"/>
        <v>1099.1100000000006</v>
      </c>
      <c r="H55" s="9">
        <f t="shared" si="7"/>
        <v>1.8494991539262005E-2</v>
      </c>
      <c r="I55" s="5" t="str">
        <f t="shared" si="8"/>
        <v>Review</v>
      </c>
    </row>
    <row r="56" spans="1:9">
      <c r="A56" s="3">
        <v>55</v>
      </c>
      <c r="B56" s="3" t="s">
        <v>16</v>
      </c>
      <c r="C56" s="3" t="s">
        <v>47</v>
      </c>
      <c r="D56" s="3" t="s">
        <v>112</v>
      </c>
      <c r="E56" s="3">
        <v>107513.98</v>
      </c>
      <c r="F56" s="3">
        <v>104326.1</v>
      </c>
      <c r="G56" s="5">
        <f t="shared" si="6"/>
        <v>-3187.8799999999901</v>
      </c>
      <c r="H56" s="9">
        <f t="shared" si="7"/>
        <v>-2.9650841685890432E-2</v>
      </c>
      <c r="I56" s="5" t="str">
        <f t="shared" si="8"/>
        <v>Review</v>
      </c>
    </row>
    <row r="57" spans="1:9">
      <c r="A57" s="27">
        <v>56</v>
      </c>
      <c r="B57" s="27" t="s">
        <v>75</v>
      </c>
      <c r="C57" s="27" t="s">
        <v>65</v>
      </c>
      <c r="D57" s="28" t="s">
        <v>118</v>
      </c>
      <c r="E57" s="27">
        <v>29412.13</v>
      </c>
      <c r="F57" s="27" t="s">
        <v>115</v>
      </c>
      <c r="G57" s="27" t="s">
        <v>116</v>
      </c>
      <c r="H57" s="29" t="s">
        <v>116</v>
      </c>
      <c r="I57" s="27" t="s">
        <v>117</v>
      </c>
    </row>
    <row r="58" spans="1:9">
      <c r="A58" s="5">
        <v>57</v>
      </c>
      <c r="B58" s="5" t="s">
        <v>87</v>
      </c>
      <c r="C58" s="5" t="s">
        <v>65</v>
      </c>
      <c r="D58" s="5" t="s">
        <v>114</v>
      </c>
      <c r="E58" s="5">
        <v>87057.66</v>
      </c>
      <c r="F58" s="5">
        <v>87057.66</v>
      </c>
      <c r="G58" s="5">
        <f t="shared" ref="G58:G101" si="9">F58-E58</f>
        <v>0</v>
      </c>
      <c r="H58" s="9">
        <f t="shared" ref="H58:H101" si="10">IFERROR((F58-E58)/E58,0)</f>
        <v>0</v>
      </c>
      <c r="I58" s="5" t="str">
        <f t="shared" ref="I58:I101" si="11">IF(ABS(H58)&lt;=0.01,"Match",IF(ABS(H58)&lt;=0.05,"Review","Escalate"))</f>
        <v>Match</v>
      </c>
    </row>
    <row r="59" spans="1:9">
      <c r="A59" s="5">
        <v>58</v>
      </c>
      <c r="B59" s="5" t="s">
        <v>75</v>
      </c>
      <c r="C59" s="5" t="s">
        <v>27</v>
      </c>
      <c r="D59" s="5" t="s">
        <v>110</v>
      </c>
      <c r="E59" s="5">
        <v>42182.19</v>
      </c>
      <c r="F59" s="5">
        <v>42182.19</v>
      </c>
      <c r="G59" s="5">
        <f t="shared" si="9"/>
        <v>0</v>
      </c>
      <c r="H59" s="9">
        <f t="shared" si="10"/>
        <v>0</v>
      </c>
      <c r="I59" s="5" t="str">
        <f t="shared" si="11"/>
        <v>Match</v>
      </c>
    </row>
    <row r="60" spans="1:9">
      <c r="A60" s="5">
        <v>59</v>
      </c>
      <c r="B60" s="5" t="s">
        <v>80</v>
      </c>
      <c r="C60" s="5" t="s">
        <v>20</v>
      </c>
      <c r="D60" s="5" t="s">
        <v>112</v>
      </c>
      <c r="E60" s="5">
        <v>52814.04</v>
      </c>
      <c r="F60" s="5">
        <v>52814.04</v>
      </c>
      <c r="G60" s="5">
        <f t="shared" si="9"/>
        <v>0</v>
      </c>
      <c r="H60" s="9">
        <f t="shared" si="10"/>
        <v>0</v>
      </c>
      <c r="I60" s="5" t="str">
        <f t="shared" si="11"/>
        <v>Match</v>
      </c>
    </row>
    <row r="61" spans="1:9">
      <c r="A61" s="5">
        <v>60</v>
      </c>
      <c r="B61" s="5" t="s">
        <v>16</v>
      </c>
      <c r="C61" s="5" t="s">
        <v>17</v>
      </c>
      <c r="D61" s="5" t="s">
        <v>112</v>
      </c>
      <c r="E61" s="5">
        <v>5678.05</v>
      </c>
      <c r="F61" s="5">
        <v>5678.05</v>
      </c>
      <c r="G61" s="5">
        <f t="shared" si="9"/>
        <v>0</v>
      </c>
      <c r="H61" s="9">
        <f t="shared" si="10"/>
        <v>0</v>
      </c>
      <c r="I61" s="5" t="str">
        <f t="shared" si="11"/>
        <v>Match</v>
      </c>
    </row>
    <row r="62" spans="1:9">
      <c r="A62" s="5">
        <v>61</v>
      </c>
      <c r="B62" s="5" t="s">
        <v>16</v>
      </c>
      <c r="C62" s="5" t="s">
        <v>51</v>
      </c>
      <c r="D62" s="5" t="s">
        <v>112</v>
      </c>
      <c r="E62" s="5">
        <v>30233.49</v>
      </c>
      <c r="F62" s="5">
        <v>30233.49</v>
      </c>
      <c r="G62" s="5">
        <f t="shared" si="9"/>
        <v>0</v>
      </c>
      <c r="H62" s="9">
        <f t="shared" si="10"/>
        <v>0</v>
      </c>
      <c r="I62" s="5" t="str">
        <f t="shared" si="11"/>
        <v>Match</v>
      </c>
    </row>
    <row r="63" spans="1:9">
      <c r="A63" s="6">
        <v>62</v>
      </c>
      <c r="B63" s="6" t="s">
        <v>75</v>
      </c>
      <c r="C63" s="6" t="s">
        <v>65</v>
      </c>
      <c r="D63" s="6" t="s">
        <v>110</v>
      </c>
      <c r="E63" s="6">
        <v>19677.2</v>
      </c>
      <c r="F63" s="6">
        <v>18140.169999999998</v>
      </c>
      <c r="G63" s="5">
        <f t="shared" si="9"/>
        <v>-1537.0300000000025</v>
      </c>
      <c r="H63" s="9">
        <f t="shared" si="10"/>
        <v>-7.8112231415038855E-2</v>
      </c>
      <c r="I63" s="5" t="str">
        <f t="shared" si="11"/>
        <v>Escalate</v>
      </c>
    </row>
    <row r="64" spans="1:9">
      <c r="A64" s="5">
        <v>63</v>
      </c>
      <c r="B64" s="5" t="s">
        <v>75</v>
      </c>
      <c r="C64" s="5" t="s">
        <v>65</v>
      </c>
      <c r="D64" s="5" t="s">
        <v>112</v>
      </c>
      <c r="E64" s="5">
        <v>9273.15</v>
      </c>
      <c r="F64" s="5">
        <v>9273.15</v>
      </c>
      <c r="G64" s="5">
        <f t="shared" si="9"/>
        <v>0</v>
      </c>
      <c r="H64" s="9">
        <f t="shared" si="10"/>
        <v>0</v>
      </c>
      <c r="I64" s="5" t="str">
        <f t="shared" si="11"/>
        <v>Match</v>
      </c>
    </row>
    <row r="65" spans="1:9">
      <c r="A65" s="5">
        <v>64</v>
      </c>
      <c r="B65" s="5" t="s">
        <v>68</v>
      </c>
      <c r="C65" s="5" t="s">
        <v>91</v>
      </c>
      <c r="D65" s="5" t="s">
        <v>118</v>
      </c>
      <c r="E65" s="5">
        <v>98374.080000000002</v>
      </c>
      <c r="F65" s="5">
        <v>98374.080000000002</v>
      </c>
      <c r="G65" s="5">
        <f t="shared" si="9"/>
        <v>0</v>
      </c>
      <c r="H65" s="9">
        <f t="shared" si="10"/>
        <v>0</v>
      </c>
      <c r="I65" s="5" t="str">
        <f t="shared" si="11"/>
        <v>Match</v>
      </c>
    </row>
    <row r="66" spans="1:9">
      <c r="A66" s="6">
        <v>65</v>
      </c>
      <c r="B66" s="6" t="s">
        <v>69</v>
      </c>
      <c r="C66" s="6" t="s">
        <v>47</v>
      </c>
      <c r="D66" s="6" t="s">
        <v>113</v>
      </c>
      <c r="E66" s="6">
        <v>79766.570000000007</v>
      </c>
      <c r="F66" s="6">
        <v>84203.41</v>
      </c>
      <c r="G66" s="5">
        <f t="shared" si="9"/>
        <v>4436.8399999999965</v>
      </c>
      <c r="H66" s="9">
        <f t="shared" si="10"/>
        <v>5.5622800378654816E-2</v>
      </c>
      <c r="I66" s="5" t="str">
        <f t="shared" si="11"/>
        <v>Escalate</v>
      </c>
    </row>
    <row r="67" spans="1:9">
      <c r="A67" s="3">
        <v>66</v>
      </c>
      <c r="B67" s="3" t="s">
        <v>16</v>
      </c>
      <c r="C67" s="3" t="s">
        <v>27</v>
      </c>
      <c r="D67" s="3" t="s">
        <v>112</v>
      </c>
      <c r="E67" s="3">
        <v>16783.25</v>
      </c>
      <c r="F67" s="3">
        <v>16103.16</v>
      </c>
      <c r="G67" s="5">
        <f t="shared" si="9"/>
        <v>-680.09000000000015</v>
      </c>
      <c r="H67" s="9">
        <f t="shared" si="10"/>
        <v>-4.0521948966976008E-2</v>
      </c>
      <c r="I67" s="5" t="str">
        <f t="shared" si="11"/>
        <v>Review</v>
      </c>
    </row>
    <row r="68" spans="1:9">
      <c r="A68" s="3">
        <v>67</v>
      </c>
      <c r="B68" s="3" t="s">
        <v>75</v>
      </c>
      <c r="C68" s="3" t="s">
        <v>32</v>
      </c>
      <c r="D68" s="3" t="s">
        <v>114</v>
      </c>
      <c r="E68" s="3">
        <v>99613.37</v>
      </c>
      <c r="F68" s="3">
        <v>97067.8</v>
      </c>
      <c r="G68" s="5">
        <f t="shared" si="9"/>
        <v>-2545.5699999999924</v>
      </c>
      <c r="H68" s="9">
        <f t="shared" si="10"/>
        <v>-2.5554501368641503E-2</v>
      </c>
      <c r="I68" s="5" t="str">
        <f t="shared" si="11"/>
        <v>Review</v>
      </c>
    </row>
    <row r="69" spans="1:9">
      <c r="A69" s="3">
        <v>68</v>
      </c>
      <c r="B69" s="3" t="s">
        <v>69</v>
      </c>
      <c r="C69" s="3" t="s">
        <v>91</v>
      </c>
      <c r="D69" s="3" t="s">
        <v>110</v>
      </c>
      <c r="E69" s="3">
        <v>71289.649999999994</v>
      </c>
      <c r="F69" s="3">
        <v>73981.960000000006</v>
      </c>
      <c r="G69" s="5">
        <f t="shared" si="9"/>
        <v>2692.3100000000122</v>
      </c>
      <c r="H69" s="9">
        <f t="shared" si="10"/>
        <v>3.7765790686305971E-2</v>
      </c>
      <c r="I69" s="5" t="str">
        <f t="shared" si="11"/>
        <v>Review</v>
      </c>
    </row>
    <row r="70" spans="1:9">
      <c r="A70" s="6">
        <v>69</v>
      </c>
      <c r="B70" s="6" t="s">
        <v>75</v>
      </c>
      <c r="C70" s="6" t="s">
        <v>91</v>
      </c>
      <c r="D70" s="6" t="s">
        <v>110</v>
      </c>
      <c r="E70" s="6">
        <v>71973.22</v>
      </c>
      <c r="F70" s="6">
        <v>76704.44</v>
      </c>
      <c r="G70" s="5">
        <f t="shared" si="9"/>
        <v>4731.2200000000012</v>
      </c>
      <c r="H70" s="9">
        <f t="shared" si="10"/>
        <v>6.573583896899432E-2</v>
      </c>
      <c r="I70" s="5" t="str">
        <f t="shared" si="11"/>
        <v>Escalate</v>
      </c>
    </row>
    <row r="71" spans="1:9">
      <c r="A71" s="5">
        <v>70</v>
      </c>
      <c r="B71" s="5" t="s">
        <v>68</v>
      </c>
      <c r="C71" s="5" t="s">
        <v>47</v>
      </c>
      <c r="D71" s="5" t="s">
        <v>118</v>
      </c>
      <c r="E71" s="5">
        <v>63185.49</v>
      </c>
      <c r="F71" s="5">
        <v>63185.49</v>
      </c>
      <c r="G71" s="5">
        <f t="shared" si="9"/>
        <v>0</v>
      </c>
      <c r="H71" s="9">
        <f t="shared" si="10"/>
        <v>0</v>
      </c>
      <c r="I71" s="5" t="str">
        <f t="shared" si="11"/>
        <v>Match</v>
      </c>
    </row>
    <row r="72" spans="1:9">
      <c r="A72" s="5">
        <v>71</v>
      </c>
      <c r="B72" s="5" t="s">
        <v>80</v>
      </c>
      <c r="C72" s="5" t="s">
        <v>65</v>
      </c>
      <c r="D72" s="5" t="s">
        <v>113</v>
      </c>
      <c r="E72" s="5">
        <v>22593.98</v>
      </c>
      <c r="F72" s="5">
        <v>22593.98</v>
      </c>
      <c r="G72" s="5">
        <f t="shared" si="9"/>
        <v>0</v>
      </c>
      <c r="H72" s="9">
        <f t="shared" si="10"/>
        <v>0</v>
      </c>
      <c r="I72" s="5" t="str">
        <f t="shared" si="11"/>
        <v>Match</v>
      </c>
    </row>
    <row r="73" spans="1:9">
      <c r="A73" s="6">
        <v>72</v>
      </c>
      <c r="B73" s="6" t="s">
        <v>98</v>
      </c>
      <c r="C73" s="6" t="s">
        <v>65</v>
      </c>
      <c r="D73" s="6" t="s">
        <v>110</v>
      </c>
      <c r="E73" s="6">
        <v>85965.15</v>
      </c>
      <c r="F73" s="6">
        <v>81027.429999999993</v>
      </c>
      <c r="G73" s="5">
        <f t="shared" si="9"/>
        <v>-4937.7200000000012</v>
      </c>
      <c r="H73" s="9">
        <f t="shared" si="10"/>
        <v>-5.7438624838088474E-2</v>
      </c>
      <c r="I73" s="5" t="str">
        <f t="shared" si="11"/>
        <v>Escalate</v>
      </c>
    </row>
    <row r="74" spans="1:9">
      <c r="A74" s="5">
        <v>73</v>
      </c>
      <c r="B74" s="5" t="s">
        <v>87</v>
      </c>
      <c r="C74" s="5" t="s">
        <v>65</v>
      </c>
      <c r="D74" s="5" t="s">
        <v>118</v>
      </c>
      <c r="E74" s="5">
        <v>75188.149999999994</v>
      </c>
      <c r="F74" s="5">
        <v>75188.149999999994</v>
      </c>
      <c r="G74" s="5">
        <f t="shared" si="9"/>
        <v>0</v>
      </c>
      <c r="H74" s="9">
        <f t="shared" si="10"/>
        <v>0</v>
      </c>
      <c r="I74" s="5" t="str">
        <f t="shared" si="11"/>
        <v>Match</v>
      </c>
    </row>
    <row r="75" spans="1:9">
      <c r="A75" s="5">
        <v>74</v>
      </c>
      <c r="B75" s="5" t="s">
        <v>98</v>
      </c>
      <c r="C75" s="5" t="s">
        <v>51</v>
      </c>
      <c r="D75" s="5" t="s">
        <v>113</v>
      </c>
      <c r="E75" s="5">
        <v>83205.62</v>
      </c>
      <c r="F75" s="5">
        <v>83205.62</v>
      </c>
      <c r="G75" s="5">
        <f t="shared" si="9"/>
        <v>0</v>
      </c>
      <c r="H75" s="9">
        <f t="shared" si="10"/>
        <v>0</v>
      </c>
      <c r="I75" s="5" t="str">
        <f t="shared" si="11"/>
        <v>Match</v>
      </c>
    </row>
    <row r="76" spans="1:9">
      <c r="A76" s="5">
        <v>75</v>
      </c>
      <c r="B76" s="5" t="s">
        <v>98</v>
      </c>
      <c r="C76" s="5" t="s">
        <v>51</v>
      </c>
      <c r="D76" s="5" t="s">
        <v>113</v>
      </c>
      <c r="E76" s="5">
        <v>32755.95</v>
      </c>
      <c r="F76" s="5">
        <v>32755.95</v>
      </c>
      <c r="G76" s="5">
        <f t="shared" si="9"/>
        <v>0</v>
      </c>
      <c r="H76" s="9">
        <f t="shared" si="10"/>
        <v>0</v>
      </c>
      <c r="I76" s="5" t="str">
        <f t="shared" si="11"/>
        <v>Match</v>
      </c>
    </row>
    <row r="77" spans="1:9">
      <c r="A77" s="5">
        <v>76</v>
      </c>
      <c r="B77" s="5" t="s">
        <v>68</v>
      </c>
      <c r="C77" s="5" t="s">
        <v>64</v>
      </c>
      <c r="D77" s="5" t="s">
        <v>114</v>
      </c>
      <c r="E77" s="5">
        <v>33399.9</v>
      </c>
      <c r="F77" s="5">
        <v>33399.9</v>
      </c>
      <c r="G77" s="5">
        <f t="shared" si="9"/>
        <v>0</v>
      </c>
      <c r="H77" s="9">
        <f t="shared" si="10"/>
        <v>0</v>
      </c>
      <c r="I77" s="5" t="str">
        <f t="shared" si="11"/>
        <v>Match</v>
      </c>
    </row>
    <row r="78" spans="1:9">
      <c r="A78" s="3">
        <v>77</v>
      </c>
      <c r="B78" s="3" t="s">
        <v>98</v>
      </c>
      <c r="C78" s="3" t="s">
        <v>20</v>
      </c>
      <c r="D78" s="3" t="s">
        <v>112</v>
      </c>
      <c r="E78" s="3">
        <v>44532.1</v>
      </c>
      <c r="F78" s="3">
        <v>46693.120000000003</v>
      </c>
      <c r="G78" s="5">
        <f t="shared" si="9"/>
        <v>2161.0200000000041</v>
      </c>
      <c r="H78" s="9">
        <f t="shared" si="10"/>
        <v>4.8527242146676308E-2</v>
      </c>
      <c r="I78" s="5" t="str">
        <f t="shared" si="11"/>
        <v>Review</v>
      </c>
    </row>
    <row r="79" spans="1:9">
      <c r="A79" s="5">
        <v>78</v>
      </c>
      <c r="B79" s="5" t="s">
        <v>87</v>
      </c>
      <c r="C79" s="5" t="s">
        <v>51</v>
      </c>
      <c r="D79" s="5" t="s">
        <v>109</v>
      </c>
      <c r="E79" s="5">
        <v>87947.7</v>
      </c>
      <c r="F79" s="5">
        <v>87947.7</v>
      </c>
      <c r="G79" s="5">
        <f t="shared" si="9"/>
        <v>0</v>
      </c>
      <c r="H79" s="9">
        <f t="shared" si="10"/>
        <v>0</v>
      </c>
      <c r="I79" s="5" t="str">
        <f t="shared" si="11"/>
        <v>Match</v>
      </c>
    </row>
    <row r="80" spans="1:9">
      <c r="A80" s="6">
        <v>79</v>
      </c>
      <c r="B80" s="6" t="s">
        <v>98</v>
      </c>
      <c r="C80" s="6" t="s">
        <v>91</v>
      </c>
      <c r="D80" s="6" t="s">
        <v>113</v>
      </c>
      <c r="E80" s="6">
        <v>62610.14</v>
      </c>
      <c r="F80" s="6">
        <v>65851.8</v>
      </c>
      <c r="G80" s="5">
        <f t="shared" si="9"/>
        <v>3241.6600000000035</v>
      </c>
      <c r="H80" s="9">
        <f t="shared" si="10"/>
        <v>5.1775319461033045E-2</v>
      </c>
      <c r="I80" s="5" t="str">
        <f t="shared" si="11"/>
        <v>Escalate</v>
      </c>
    </row>
    <row r="81" spans="1:9">
      <c r="A81" s="6">
        <v>80</v>
      </c>
      <c r="B81" s="6" t="s">
        <v>80</v>
      </c>
      <c r="C81" s="6" t="s">
        <v>27</v>
      </c>
      <c r="D81" s="6" t="s">
        <v>118</v>
      </c>
      <c r="E81" s="6">
        <v>6627.06</v>
      </c>
      <c r="F81" s="6">
        <v>6224.15</v>
      </c>
      <c r="G81" s="5">
        <f t="shared" si="9"/>
        <v>-402.91000000000076</v>
      </c>
      <c r="H81" s="9">
        <f t="shared" si="10"/>
        <v>-6.0797699130534615E-2</v>
      </c>
      <c r="I81" s="5" t="str">
        <f t="shared" si="11"/>
        <v>Escalate</v>
      </c>
    </row>
    <row r="82" spans="1:9">
      <c r="A82" s="3">
        <v>81</v>
      </c>
      <c r="B82" s="3" t="s">
        <v>16</v>
      </c>
      <c r="C82" s="3" t="s">
        <v>65</v>
      </c>
      <c r="D82" s="3" t="s">
        <v>114</v>
      </c>
      <c r="E82" s="3">
        <v>90611.98</v>
      </c>
      <c r="F82" s="3">
        <v>86340.34</v>
      </c>
      <c r="G82" s="5">
        <f t="shared" si="9"/>
        <v>-4271.6399999999994</v>
      </c>
      <c r="H82" s="9">
        <f t="shared" si="10"/>
        <v>-4.7142110789323878E-2</v>
      </c>
      <c r="I82" s="5" t="str">
        <f t="shared" si="11"/>
        <v>Review</v>
      </c>
    </row>
    <row r="83" spans="1:9">
      <c r="A83" s="5">
        <v>82</v>
      </c>
      <c r="B83" s="5" t="s">
        <v>87</v>
      </c>
      <c r="C83" s="5" t="s">
        <v>65</v>
      </c>
      <c r="D83" s="5" t="s">
        <v>110</v>
      </c>
      <c r="E83" s="5">
        <v>85607.24</v>
      </c>
      <c r="F83" s="5">
        <v>85607.24</v>
      </c>
      <c r="G83" s="5">
        <f t="shared" si="9"/>
        <v>0</v>
      </c>
      <c r="H83" s="9">
        <f t="shared" si="10"/>
        <v>0</v>
      </c>
      <c r="I83" s="5" t="str">
        <f t="shared" si="11"/>
        <v>Match</v>
      </c>
    </row>
    <row r="84" spans="1:9">
      <c r="A84" s="5">
        <v>83</v>
      </c>
      <c r="B84" s="5" t="s">
        <v>16</v>
      </c>
      <c r="C84" s="5" t="s">
        <v>91</v>
      </c>
      <c r="D84" s="5" t="s">
        <v>113</v>
      </c>
      <c r="E84" s="5">
        <v>119300.58</v>
      </c>
      <c r="F84" s="5">
        <v>119300.58</v>
      </c>
      <c r="G84" s="5">
        <f t="shared" si="9"/>
        <v>0</v>
      </c>
      <c r="H84" s="9">
        <f t="shared" si="10"/>
        <v>0</v>
      </c>
      <c r="I84" s="5" t="str">
        <f t="shared" si="11"/>
        <v>Match</v>
      </c>
    </row>
    <row r="85" spans="1:9">
      <c r="A85" s="3">
        <v>84</v>
      </c>
      <c r="B85" s="3" t="s">
        <v>68</v>
      </c>
      <c r="C85" s="3" t="s">
        <v>65</v>
      </c>
      <c r="D85" s="3" t="s">
        <v>110</v>
      </c>
      <c r="E85" s="3">
        <v>89370.49</v>
      </c>
      <c r="F85" s="3">
        <v>92174.63</v>
      </c>
      <c r="G85" s="5">
        <f t="shared" si="9"/>
        <v>2804.1399999999994</v>
      </c>
      <c r="H85" s="9">
        <f t="shared" si="10"/>
        <v>3.1376576317305623E-2</v>
      </c>
      <c r="I85" s="5" t="str">
        <f t="shared" si="11"/>
        <v>Review</v>
      </c>
    </row>
    <row r="86" spans="1:9">
      <c r="A86" s="5">
        <v>85</v>
      </c>
      <c r="B86" s="5" t="s">
        <v>87</v>
      </c>
      <c r="C86" s="5" t="s">
        <v>51</v>
      </c>
      <c r="D86" s="5" t="s">
        <v>118</v>
      </c>
      <c r="E86" s="5">
        <v>69616.350000000006</v>
      </c>
      <c r="F86" s="5">
        <v>69616.350000000006</v>
      </c>
      <c r="G86" s="5">
        <f t="shared" si="9"/>
        <v>0</v>
      </c>
      <c r="H86" s="9">
        <f t="shared" si="10"/>
        <v>0</v>
      </c>
      <c r="I86" s="5" t="str">
        <f t="shared" si="11"/>
        <v>Match</v>
      </c>
    </row>
    <row r="87" spans="1:9">
      <c r="A87" s="5">
        <v>86</v>
      </c>
      <c r="B87" s="5" t="s">
        <v>69</v>
      </c>
      <c r="C87" s="5" t="s">
        <v>17</v>
      </c>
      <c r="D87" s="5" t="s">
        <v>113</v>
      </c>
      <c r="E87" s="5">
        <v>84277.68</v>
      </c>
      <c r="F87" s="5">
        <v>84277.68</v>
      </c>
      <c r="G87" s="5">
        <f t="shared" si="9"/>
        <v>0</v>
      </c>
      <c r="H87" s="9">
        <f t="shared" si="10"/>
        <v>0</v>
      </c>
      <c r="I87" s="5" t="str">
        <f t="shared" si="11"/>
        <v>Match</v>
      </c>
    </row>
    <row r="88" spans="1:9">
      <c r="A88" s="5">
        <v>87</v>
      </c>
      <c r="B88" s="5" t="s">
        <v>68</v>
      </c>
      <c r="C88" s="5" t="s">
        <v>11</v>
      </c>
      <c r="D88" s="5" t="s">
        <v>113</v>
      </c>
      <c r="E88" s="5">
        <v>27385.62</v>
      </c>
      <c r="F88" s="5">
        <v>27385.62</v>
      </c>
      <c r="G88" s="5">
        <f t="shared" si="9"/>
        <v>0</v>
      </c>
      <c r="H88" s="9">
        <f t="shared" si="10"/>
        <v>0</v>
      </c>
      <c r="I88" s="5" t="str">
        <f t="shared" si="11"/>
        <v>Match</v>
      </c>
    </row>
    <row r="89" spans="1:9">
      <c r="A89" s="5">
        <v>88</v>
      </c>
      <c r="B89" s="5" t="s">
        <v>111</v>
      </c>
      <c r="C89" s="5" t="s">
        <v>51</v>
      </c>
      <c r="D89" s="5" t="s">
        <v>110</v>
      </c>
      <c r="E89" s="5">
        <v>19035.05</v>
      </c>
      <c r="F89" s="5">
        <v>19035.05</v>
      </c>
      <c r="G89" s="5">
        <f t="shared" si="9"/>
        <v>0</v>
      </c>
      <c r="H89" s="9">
        <f t="shared" si="10"/>
        <v>0</v>
      </c>
      <c r="I89" s="5" t="str">
        <f t="shared" si="11"/>
        <v>Match</v>
      </c>
    </row>
    <row r="90" spans="1:9">
      <c r="A90" s="3">
        <v>89</v>
      </c>
      <c r="B90" s="3" t="s">
        <v>80</v>
      </c>
      <c r="C90" s="3" t="s">
        <v>32</v>
      </c>
      <c r="D90" s="3" t="s">
        <v>114</v>
      </c>
      <c r="E90" s="3">
        <v>85817.36</v>
      </c>
      <c r="F90" s="3">
        <v>89313.62</v>
      </c>
      <c r="G90" s="5">
        <f t="shared" si="9"/>
        <v>3496.2599999999948</v>
      </c>
      <c r="H90" s="9">
        <f t="shared" si="10"/>
        <v>4.0740707940677676E-2</v>
      </c>
      <c r="I90" s="5" t="str">
        <f t="shared" si="11"/>
        <v>Review</v>
      </c>
    </row>
    <row r="91" spans="1:9">
      <c r="A91" s="3">
        <v>90</v>
      </c>
      <c r="B91" s="3" t="s">
        <v>98</v>
      </c>
      <c r="C91" s="3" t="s">
        <v>20</v>
      </c>
      <c r="D91" s="3" t="s">
        <v>113</v>
      </c>
      <c r="E91" s="3">
        <v>55342.27</v>
      </c>
      <c r="F91" s="3">
        <v>54360.480000000003</v>
      </c>
      <c r="G91" s="5">
        <f t="shared" si="9"/>
        <v>-981.7899999999936</v>
      </c>
      <c r="H91" s="9">
        <f t="shared" si="10"/>
        <v>-1.7740327601307167E-2</v>
      </c>
      <c r="I91" s="5" t="str">
        <f t="shared" si="11"/>
        <v>Review</v>
      </c>
    </row>
    <row r="92" spans="1:9">
      <c r="A92" s="6">
        <v>91</v>
      </c>
      <c r="B92" s="6" t="s">
        <v>87</v>
      </c>
      <c r="C92" s="6" t="s">
        <v>32</v>
      </c>
      <c r="D92" s="6" t="s">
        <v>110</v>
      </c>
      <c r="E92" s="6">
        <v>98332.76</v>
      </c>
      <c r="F92" s="6">
        <v>103943.6</v>
      </c>
      <c r="G92" s="5">
        <f t="shared" si="9"/>
        <v>5610.8400000000111</v>
      </c>
      <c r="H92" s="9">
        <f t="shared" si="10"/>
        <v>5.7059722517704289E-2</v>
      </c>
      <c r="I92" s="5" t="str">
        <f t="shared" si="11"/>
        <v>Escalate</v>
      </c>
    </row>
    <row r="93" spans="1:9">
      <c r="A93" s="3">
        <v>92</v>
      </c>
      <c r="B93" s="3" t="s">
        <v>98</v>
      </c>
      <c r="C93" s="3" t="s">
        <v>65</v>
      </c>
      <c r="D93" s="3" t="s">
        <v>110</v>
      </c>
      <c r="E93" s="3">
        <v>31809.69</v>
      </c>
      <c r="F93" s="3">
        <v>33098.36</v>
      </c>
      <c r="G93" s="5">
        <f t="shared" si="9"/>
        <v>1288.6700000000019</v>
      </c>
      <c r="H93" s="9">
        <f t="shared" si="10"/>
        <v>4.0511869182000892E-2</v>
      </c>
      <c r="I93" s="5" t="str">
        <f t="shared" si="11"/>
        <v>Review</v>
      </c>
    </row>
    <row r="94" spans="1:9">
      <c r="A94" s="3">
        <v>93</v>
      </c>
      <c r="B94" s="3" t="s">
        <v>68</v>
      </c>
      <c r="C94" s="3" t="s">
        <v>47</v>
      </c>
      <c r="D94" s="3" t="s">
        <v>114</v>
      </c>
      <c r="E94" s="3">
        <v>70576.2</v>
      </c>
      <c r="F94" s="3">
        <v>72911.31</v>
      </c>
      <c r="G94" s="5">
        <f t="shared" si="9"/>
        <v>2335.1100000000006</v>
      </c>
      <c r="H94" s="9">
        <f t="shared" si="10"/>
        <v>3.3086366225441449E-2</v>
      </c>
      <c r="I94" s="5" t="str">
        <f t="shared" si="11"/>
        <v>Review</v>
      </c>
    </row>
    <row r="95" spans="1:9">
      <c r="A95" s="5">
        <v>94</v>
      </c>
      <c r="B95" s="5" t="s">
        <v>69</v>
      </c>
      <c r="C95" s="5" t="s">
        <v>65</v>
      </c>
      <c r="D95" s="5" t="s">
        <v>118</v>
      </c>
      <c r="E95" s="5">
        <v>41169.47</v>
      </c>
      <c r="F95" s="5">
        <v>41169.47</v>
      </c>
      <c r="G95" s="5">
        <f t="shared" si="9"/>
        <v>0</v>
      </c>
      <c r="H95" s="9">
        <f t="shared" si="10"/>
        <v>0</v>
      </c>
      <c r="I95" s="5" t="str">
        <f t="shared" si="11"/>
        <v>Match</v>
      </c>
    </row>
    <row r="96" spans="1:9">
      <c r="A96" s="5">
        <v>95</v>
      </c>
      <c r="B96" s="5" t="s">
        <v>68</v>
      </c>
      <c r="C96" s="5" t="s">
        <v>17</v>
      </c>
      <c r="D96" s="5" t="s">
        <v>112</v>
      </c>
      <c r="E96" s="5">
        <v>22851.91</v>
      </c>
      <c r="F96" s="5">
        <v>22851.91</v>
      </c>
      <c r="G96" s="5">
        <f t="shared" si="9"/>
        <v>0</v>
      </c>
      <c r="H96" s="9">
        <f t="shared" si="10"/>
        <v>0</v>
      </c>
      <c r="I96" s="5" t="str">
        <f t="shared" si="11"/>
        <v>Match</v>
      </c>
    </row>
    <row r="97" spans="1:9">
      <c r="A97" s="5">
        <v>96</v>
      </c>
      <c r="B97" s="5" t="s">
        <v>87</v>
      </c>
      <c r="C97" s="5" t="s">
        <v>20</v>
      </c>
      <c r="D97" s="5" t="s">
        <v>109</v>
      </c>
      <c r="E97" s="5">
        <v>96046.84</v>
      </c>
      <c r="F97" s="5">
        <v>96046.84</v>
      </c>
      <c r="G97" s="5">
        <f t="shared" si="9"/>
        <v>0</v>
      </c>
      <c r="H97" s="9">
        <f t="shared" si="10"/>
        <v>0</v>
      </c>
      <c r="I97" s="5" t="str">
        <f t="shared" si="11"/>
        <v>Match</v>
      </c>
    </row>
    <row r="98" spans="1:9">
      <c r="A98" s="6">
        <v>97</v>
      </c>
      <c r="B98" s="6" t="s">
        <v>87</v>
      </c>
      <c r="C98" s="6" t="s">
        <v>27</v>
      </c>
      <c r="D98" s="6" t="s">
        <v>112</v>
      </c>
      <c r="E98" s="6">
        <v>58777.98</v>
      </c>
      <c r="F98" s="6">
        <v>54459.25</v>
      </c>
      <c r="G98" s="5">
        <f t="shared" si="9"/>
        <v>-4318.7300000000032</v>
      </c>
      <c r="H98" s="9">
        <f t="shared" si="10"/>
        <v>-7.3475304867571201E-2</v>
      </c>
      <c r="I98" s="5" t="str">
        <f t="shared" si="11"/>
        <v>Escalate</v>
      </c>
    </row>
    <row r="99" spans="1:9">
      <c r="A99" s="5">
        <v>98</v>
      </c>
      <c r="B99" s="5" t="s">
        <v>98</v>
      </c>
      <c r="C99" s="5" t="s">
        <v>91</v>
      </c>
      <c r="D99" s="5" t="s">
        <v>118</v>
      </c>
      <c r="E99" s="5">
        <v>74065.210000000006</v>
      </c>
      <c r="F99" s="5">
        <v>74065.210000000006</v>
      </c>
      <c r="G99" s="5">
        <f t="shared" si="9"/>
        <v>0</v>
      </c>
      <c r="H99" s="9">
        <f t="shared" si="10"/>
        <v>0</v>
      </c>
      <c r="I99" s="5" t="str">
        <f t="shared" si="11"/>
        <v>Match</v>
      </c>
    </row>
    <row r="100" spans="1:9">
      <c r="A100" s="3">
        <v>99</v>
      </c>
      <c r="B100" s="3" t="s">
        <v>98</v>
      </c>
      <c r="C100" s="3" t="s">
        <v>27</v>
      </c>
      <c r="D100" s="3" t="s">
        <v>110</v>
      </c>
      <c r="E100" s="3">
        <v>23151.360000000001</v>
      </c>
      <c r="F100" s="3">
        <v>22508.69</v>
      </c>
      <c r="G100" s="5">
        <f t="shared" si="9"/>
        <v>-642.67000000000189</v>
      </c>
      <c r="H100" s="9">
        <f t="shared" si="10"/>
        <v>-2.7759492314922401E-2</v>
      </c>
      <c r="I100" s="5" t="str">
        <f t="shared" si="11"/>
        <v>Review</v>
      </c>
    </row>
    <row r="101" spans="1:9">
      <c r="A101" s="5">
        <v>100</v>
      </c>
      <c r="B101" s="5" t="s">
        <v>80</v>
      </c>
      <c r="C101" s="5" t="s">
        <v>20</v>
      </c>
      <c r="D101" s="5" t="s">
        <v>118</v>
      </c>
      <c r="E101" s="5">
        <v>85452.34</v>
      </c>
      <c r="F101" s="5">
        <v>85452.34</v>
      </c>
      <c r="G101" s="5">
        <f t="shared" si="9"/>
        <v>0</v>
      </c>
      <c r="H101" s="9">
        <f t="shared" si="10"/>
        <v>0</v>
      </c>
      <c r="I101" s="5" t="str">
        <f t="shared" si="11"/>
        <v>Match</v>
      </c>
    </row>
  </sheetData>
  <autoFilter ref="A1:I101" xr:uid="{00000000-0009-0000-0000-000002000000}"/>
  <conditionalFormatting sqref="A2:I101">
    <cfRule type="expression" dxfId="11" priority="1">
      <formula>$I2="Escalate"</formula>
    </cfRule>
    <cfRule type="expression" dxfId="10" priority="2">
      <formula>$I2="Review"</formula>
    </cfRule>
    <cfRule type="expression" dxfId="9" priority="3">
      <formula>$I2="Match"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abSelected="1" topLeftCell="A10" zoomScale="80" zoomScaleNormal="80" workbookViewId="0">
      <selection activeCell="G33" sqref="G33"/>
    </sheetView>
  </sheetViews>
  <sheetFormatPr defaultRowHeight="14.4"/>
  <cols>
    <col min="1" max="6" width="24" customWidth="1"/>
    <col min="7" max="7" width="17.44140625" bestFit="1" customWidth="1"/>
  </cols>
  <sheetData>
    <row r="1" spans="1:6" ht="17.399999999999999" customHeight="1">
      <c r="A1" s="32" t="s">
        <v>119</v>
      </c>
      <c r="B1" s="33"/>
      <c r="C1" s="33"/>
      <c r="D1" s="33"/>
      <c r="E1" s="33"/>
      <c r="F1" s="33"/>
    </row>
    <row r="3" spans="1:6">
      <c r="A3" s="7" t="s">
        <v>120</v>
      </c>
    </row>
    <row r="4" spans="1:6">
      <c r="A4" s="36" t="s">
        <v>1</v>
      </c>
      <c r="B4" s="36" t="s">
        <v>121</v>
      </c>
      <c r="C4" s="36" t="s">
        <v>122</v>
      </c>
      <c r="D4" s="36" t="s">
        <v>123</v>
      </c>
      <c r="E4" s="36" t="s">
        <v>124</v>
      </c>
      <c r="F4" s="36" t="s">
        <v>125</v>
      </c>
    </row>
    <row r="5" spans="1:6">
      <c r="A5" s="5" t="s">
        <v>75</v>
      </c>
      <c r="B5" s="8">
        <f>SUMIF('3_Reconciliation'!B:B,A5,'3_Reconciliation'!E:E)</f>
        <v>671163.64</v>
      </c>
      <c r="C5" s="8">
        <f>SUMIF('3_Reconciliation'!B:B,A5,'3_Reconciliation'!F:F)</f>
        <v>563695.66999999993</v>
      </c>
      <c r="D5" s="8">
        <f t="shared" ref="D5:D12" si="0">C5-B5</f>
        <v>-107467.97000000009</v>
      </c>
      <c r="E5" s="9">
        <f t="shared" ref="E5:E12" si="1">IFERROR(D5/B5,0)</f>
        <v>-0.16012185940227644</v>
      </c>
      <c r="F5" s="5" t="s">
        <v>126</v>
      </c>
    </row>
    <row r="6" spans="1:6">
      <c r="A6" s="5" t="s">
        <v>87</v>
      </c>
      <c r="B6" s="8">
        <f>SUMIF('3_Reconciliation'!B:B,A6,'3_Reconciliation'!E:E)</f>
        <v>1441473.6200000003</v>
      </c>
      <c r="C6" s="8">
        <f>SUMIF('3_Reconciliation'!B:B,A6,'3_Reconciliation'!F:F)</f>
        <v>1448011.9600000002</v>
      </c>
      <c r="D6" s="8">
        <f t="shared" si="0"/>
        <v>6538.339999999851</v>
      </c>
      <c r="E6" s="9">
        <f t="shared" si="1"/>
        <v>4.5358721167577448E-3</v>
      </c>
      <c r="F6" s="5" t="s">
        <v>127</v>
      </c>
    </row>
    <row r="7" spans="1:6">
      <c r="A7" s="5" t="s">
        <v>68</v>
      </c>
      <c r="B7" s="8">
        <f>SUMIF('3_Reconciliation'!B:B,A7,'3_Reconciliation'!E:E)</f>
        <v>650462.99</v>
      </c>
      <c r="C7" s="8">
        <f>SUMIF('3_Reconciliation'!B:B,A7,'3_Reconciliation'!F:F)</f>
        <v>653958.93000000005</v>
      </c>
      <c r="D7" s="8">
        <f t="shared" si="0"/>
        <v>3495.9400000000605</v>
      </c>
      <c r="E7" s="9">
        <f t="shared" si="1"/>
        <v>5.3745409865672148E-3</v>
      </c>
      <c r="F7" s="5" t="s">
        <v>128</v>
      </c>
    </row>
    <row r="8" spans="1:6">
      <c r="A8" s="5" t="s">
        <v>98</v>
      </c>
      <c r="B8" s="8">
        <f>SUMIF('3_Reconciliation'!B:B,A8,'3_Reconciliation'!E:E)</f>
        <v>669344.33999999985</v>
      </c>
      <c r="C8" s="8">
        <f>SUMIF('3_Reconciliation'!B:B,A8,'3_Reconciliation'!F:F)</f>
        <v>671636.52999999991</v>
      </c>
      <c r="D8" s="8">
        <f t="shared" si="0"/>
        <v>2292.1900000000605</v>
      </c>
      <c r="E8" s="9">
        <f t="shared" si="1"/>
        <v>3.4245303396456014E-3</v>
      </c>
      <c r="F8" s="5" t="s">
        <v>129</v>
      </c>
    </row>
    <row r="9" spans="1:6">
      <c r="A9" s="5" t="s">
        <v>80</v>
      </c>
      <c r="B9" s="8">
        <f>SUMIF('3_Reconciliation'!B:B,A9,'3_Reconciliation'!E:E)</f>
        <v>466827.64999999991</v>
      </c>
      <c r="C9" s="8">
        <f>SUMIF('3_Reconciliation'!B:B,A9,'3_Reconciliation'!F:F)</f>
        <v>463787.88</v>
      </c>
      <c r="D9" s="8">
        <f t="shared" si="0"/>
        <v>-3039.7699999999022</v>
      </c>
      <c r="E9" s="9">
        <f t="shared" si="1"/>
        <v>-6.5115466061187741E-3</v>
      </c>
      <c r="F9" s="5" t="s">
        <v>130</v>
      </c>
    </row>
    <row r="10" spans="1:6">
      <c r="A10" s="20" t="s">
        <v>16</v>
      </c>
      <c r="B10" s="18">
        <f>SUMIF('3_Reconciliation'!B:B,A10,'3_Reconciliation'!E:E)</f>
        <v>970210.11</v>
      </c>
      <c r="C10" s="18">
        <f>SUMIF('3_Reconciliation'!B:B,A10,'3_Reconciliation'!F:F)</f>
        <v>957051.02</v>
      </c>
      <c r="D10" s="18">
        <f t="shared" si="0"/>
        <v>-13159.089999999967</v>
      </c>
      <c r="E10" s="19">
        <f t="shared" si="1"/>
        <v>-1.3563134278202861E-2</v>
      </c>
      <c r="F10" s="20" t="s">
        <v>131</v>
      </c>
    </row>
    <row r="11" spans="1:6">
      <c r="A11" s="20" t="s">
        <v>69</v>
      </c>
      <c r="B11" s="18">
        <f>SUMIF('3_Reconciliation'!B:B,A11,'3_Reconciliation'!E:E)</f>
        <v>589540.47</v>
      </c>
      <c r="C11" s="18">
        <f>SUMIF('3_Reconciliation'!B:B,A11,'3_Reconciliation'!F:F)</f>
        <v>597131.22</v>
      </c>
      <c r="D11" s="18">
        <f t="shared" si="0"/>
        <v>7590.75</v>
      </c>
      <c r="E11" s="19">
        <f t="shared" si="1"/>
        <v>1.2875706395525316E-2</v>
      </c>
      <c r="F11" s="20" t="s">
        <v>132</v>
      </c>
    </row>
    <row r="12" spans="1:6">
      <c r="A12" s="20" t="s">
        <v>111</v>
      </c>
      <c r="B12" s="18">
        <f>SUMIF('3_Reconciliation'!B:B,A12,'3_Reconciliation'!E:E)</f>
        <v>49385.72</v>
      </c>
      <c r="C12" s="18">
        <f>SUMIF('3_Reconciliation'!B:B,A12,'3_Reconciliation'!F:F)</f>
        <v>48677.34</v>
      </c>
      <c r="D12" s="18">
        <f t="shared" si="0"/>
        <v>-708.38000000000466</v>
      </c>
      <c r="E12" s="19">
        <f t="shared" si="1"/>
        <v>-1.4343822465279531E-2</v>
      </c>
      <c r="F12" s="20" t="s">
        <v>133</v>
      </c>
    </row>
    <row r="13" spans="1:6">
      <c r="A13" s="10" t="s">
        <v>134</v>
      </c>
      <c r="B13" s="11">
        <f>SUM(B5:B12)</f>
        <v>5508408.5399999991</v>
      </c>
      <c r="C13" s="11">
        <f>SUM(C5:C12)</f>
        <v>5403950.5499999998</v>
      </c>
      <c r="D13" s="11">
        <f>SUM(D5:D12)</f>
        <v>-104457.98999999999</v>
      </c>
      <c r="E13" s="10"/>
      <c r="F13" s="10"/>
    </row>
    <row r="15" spans="1:6">
      <c r="A15" s="7" t="s">
        <v>135</v>
      </c>
    </row>
    <row r="16" spans="1:6">
      <c r="A16" s="12" t="s">
        <v>8</v>
      </c>
      <c r="B16" s="12" t="s">
        <v>136</v>
      </c>
      <c r="C16" s="12" t="s">
        <v>137</v>
      </c>
    </row>
    <row r="17" spans="1:7">
      <c r="A17" s="5" t="s">
        <v>138</v>
      </c>
      <c r="B17" s="5">
        <f>COUNTIF('3_Reconciliation'!I:I,"Match")</f>
        <v>48</v>
      </c>
      <c r="C17" s="13">
        <f>IFERROR(B17/SUM(B17:B19),0)</f>
        <v>0.49484536082474229</v>
      </c>
    </row>
    <row r="18" spans="1:7">
      <c r="A18" s="20" t="s">
        <v>139</v>
      </c>
      <c r="B18" s="20">
        <f>COUNTIF('3_Reconciliation'!I:I,"Review")</f>
        <v>32</v>
      </c>
      <c r="C18" s="21">
        <f>IFERROR(B18/SUM($B$17:$B$19),0)</f>
        <v>0.32989690721649484</v>
      </c>
    </row>
    <row r="19" spans="1:7">
      <c r="A19" s="6" t="s">
        <v>140</v>
      </c>
      <c r="B19" s="6">
        <f>COUNTIF('3_Reconciliation'!I:I,"Escalate")</f>
        <v>17</v>
      </c>
      <c r="C19" s="30">
        <f>IFERROR(B19/SUM($B$17:$B$19),0)</f>
        <v>0.17525773195876287</v>
      </c>
    </row>
    <row r="21" spans="1:7">
      <c r="A21" s="25" t="s">
        <v>141</v>
      </c>
      <c r="B21" s="26"/>
      <c r="C21" s="26"/>
      <c r="D21" s="26"/>
      <c r="E21" s="26"/>
      <c r="F21" s="26"/>
      <c r="G21" s="26"/>
    </row>
    <row r="22" spans="1:7">
      <c r="A22" s="35" t="s">
        <v>142</v>
      </c>
      <c r="B22" s="35" t="s">
        <v>121</v>
      </c>
      <c r="C22" s="35" t="s">
        <v>122</v>
      </c>
      <c r="D22" s="35" t="s">
        <v>123</v>
      </c>
      <c r="E22" s="35" t="s">
        <v>124</v>
      </c>
    </row>
    <row r="23" spans="1:7">
      <c r="A23" t="s">
        <v>11</v>
      </c>
      <c r="B23">
        <f>SUMIF('3_Reconciliation'!C:C,"WPP Media",'3_Reconciliation'!E:E)</f>
        <v>503495.75</v>
      </c>
      <c r="C23">
        <f>SUMIF('3_Reconciliation'!C:C,"WPP Media",'3_Reconciliation'!F:F)</f>
        <v>507357.68999999994</v>
      </c>
      <c r="D23">
        <f t="shared" ref="D23:D32" si="2">B23-C23</f>
        <v>-3861.9399999999441</v>
      </c>
      <c r="E23" s="24">
        <f t="shared" ref="E23:E32" si="3">D23/B23</f>
        <v>-7.6702534231916442E-3</v>
      </c>
    </row>
    <row r="24" spans="1:7">
      <c r="A24" t="s">
        <v>17</v>
      </c>
      <c r="B24">
        <f>SUMIF('3_Reconciliation'!C:C,"IPG Mediabrands",'3_Reconciliation'!E:E)</f>
        <v>359222.04999999993</v>
      </c>
      <c r="C24">
        <f>SUMIF('3_Reconciliation'!C:C,"IPG Mediabrands",'3_Reconciliation'!F:F)</f>
        <v>364679.83999999997</v>
      </c>
      <c r="D24">
        <f t="shared" si="2"/>
        <v>-5457.7900000000373</v>
      </c>
      <c r="E24" s="24">
        <f t="shared" si="3"/>
        <v>-1.5193360207147746E-2</v>
      </c>
    </row>
    <row r="25" spans="1:7">
      <c r="A25" t="s">
        <v>20</v>
      </c>
      <c r="B25">
        <f>SUMIF('3_Reconciliation'!C:C,"Mindshare",'3_Reconciliation'!E:E)</f>
        <v>547692.99999999988</v>
      </c>
      <c r="C25">
        <f>SUMIF('3_Reconciliation'!C:C,"Mindshare",'3_Reconciliation'!F:F)</f>
        <v>537526.52</v>
      </c>
      <c r="D25">
        <f t="shared" si="2"/>
        <v>10166.479999999865</v>
      </c>
      <c r="E25" s="24">
        <f t="shared" si="3"/>
        <v>1.856236979475704E-2</v>
      </c>
    </row>
    <row r="26" spans="1:7">
      <c r="A26" t="s">
        <v>32</v>
      </c>
      <c r="B26">
        <f>SUMIF('3_Reconciliation'!C:C,"MediaCom",'3_Reconciliation'!E:E)</f>
        <v>654837.59</v>
      </c>
      <c r="C26">
        <f>SUMIF('3_Reconciliation'!C:C,"MediaCom",'3_Reconciliation'!F:F)</f>
        <v>651685.38</v>
      </c>
      <c r="D26">
        <f t="shared" si="2"/>
        <v>3152.2099999999627</v>
      </c>
      <c r="E26" s="24">
        <f t="shared" si="3"/>
        <v>4.8137279351968213E-3</v>
      </c>
    </row>
    <row r="27" spans="1:7">
      <c r="A27" t="s">
        <v>47</v>
      </c>
      <c r="B27">
        <f>SUMIF('3_Reconciliation'!C:C,"Havas Media",'3_Reconciliation'!E:E)</f>
        <v>816319.44</v>
      </c>
      <c r="C27">
        <f>SUMIF('3_Reconciliation'!C:C,"Havas Media",'3_Reconciliation'!F:F)</f>
        <v>815913.83000000007</v>
      </c>
      <c r="D27">
        <f t="shared" si="2"/>
        <v>405.60999999986961</v>
      </c>
      <c r="E27" s="24">
        <f t="shared" si="3"/>
        <v>4.9687656586969143E-4</v>
      </c>
    </row>
    <row r="28" spans="1:7">
      <c r="A28" t="s">
        <v>51</v>
      </c>
      <c r="B28">
        <f>SUMIF('3_Reconciliation'!C:C,"Dentsu",'3_Reconciliation'!E:E)</f>
        <v>632836.20000000007</v>
      </c>
      <c r="C28">
        <f>SUMIF('3_Reconciliation'!C:C,"Dentsu",'3_Reconciliation'!F:F)</f>
        <v>633079.52</v>
      </c>
      <c r="D28">
        <f t="shared" si="2"/>
        <v>-243.31999999994878</v>
      </c>
      <c r="E28" s="24">
        <f t="shared" si="3"/>
        <v>-3.8449127910184145E-4</v>
      </c>
    </row>
    <row r="29" spans="1:7">
      <c r="A29" t="s">
        <v>64</v>
      </c>
      <c r="B29">
        <f>SUMIF('3_Reconciliation'!C:C,"GroupM",'3_Reconciliation'!E:E)</f>
        <v>226146.31999999998</v>
      </c>
      <c r="C29">
        <f>SUMIF('3_Reconciliation'!C:C,"GroupM",'3_Reconciliation'!F:F)</f>
        <v>224941.29</v>
      </c>
      <c r="D29">
        <f t="shared" si="2"/>
        <v>1205.0299999999697</v>
      </c>
      <c r="E29" s="24">
        <f t="shared" si="3"/>
        <v>5.3285412736319114E-3</v>
      </c>
    </row>
    <row r="30" spans="1:7">
      <c r="A30" t="s">
        <v>27</v>
      </c>
      <c r="B30">
        <f>SUMIF('3_Reconciliation'!C:C,"Publicis",'3_Reconciliation'!E:E)</f>
        <v>355438.23999999993</v>
      </c>
      <c r="C30">
        <f>SUMIF('3_Reconciliation'!C:C,"Publicis",'3_Reconciliation'!F:F)</f>
        <v>346881.36</v>
      </c>
      <c r="D30">
        <f t="shared" si="2"/>
        <v>8556.8799999999464</v>
      </c>
      <c r="E30" s="24">
        <f t="shared" si="3"/>
        <v>2.4074168271821142E-2</v>
      </c>
    </row>
    <row r="31" spans="1:7">
      <c r="A31" t="s">
        <v>65</v>
      </c>
      <c r="B31">
        <f>SUMIF('3_Reconciliation'!C:C,"Hearts &amp; Science",'3_Reconciliation'!E:E)</f>
        <v>897340.77999999991</v>
      </c>
      <c r="C31">
        <f>SUMIF('3_Reconciliation'!C:C,"Hearts &amp; Science",'3_Reconciliation'!F:F)</f>
        <v>796140.75999999989</v>
      </c>
      <c r="D31">
        <f t="shared" si="2"/>
        <v>101200.02000000002</v>
      </c>
      <c r="E31" s="24">
        <f t="shared" si="3"/>
        <v>0.11277768965319956</v>
      </c>
    </row>
    <row r="32" spans="1:7">
      <c r="A32" t="s">
        <v>91</v>
      </c>
      <c r="B32">
        <f>SUMIF('3_Reconciliation'!C:C,"Omnicom Media Group",'3_Reconciliation'!E:E)</f>
        <v>515079.17000000004</v>
      </c>
      <c r="C32">
        <f>SUMIF('3_Reconciliation'!C:C,"Omnicom Media Group",'3_Reconciliation'!F:F)</f>
        <v>525744.36</v>
      </c>
      <c r="D32">
        <f t="shared" si="2"/>
        <v>-10665.189999999944</v>
      </c>
      <c r="E32" s="24">
        <f t="shared" si="3"/>
        <v>-2.0705923712659439E-2</v>
      </c>
    </row>
    <row r="34" spans="1:5">
      <c r="A34" s="34" t="s">
        <v>7</v>
      </c>
      <c r="B34" s="34" t="s">
        <v>121</v>
      </c>
      <c r="C34" s="34" t="s">
        <v>122</v>
      </c>
      <c r="D34" s="34" t="s">
        <v>123</v>
      </c>
      <c r="E34" s="34" t="s">
        <v>124</v>
      </c>
    </row>
    <row r="35" spans="1:5">
      <c r="A35" s="15" t="s">
        <v>110</v>
      </c>
      <c r="B35">
        <f>SUMIF('3_Reconciliation'!D:D,"Jan-2024",'3_Reconciliation'!E:E)</f>
        <v>1446904.9300000002</v>
      </c>
      <c r="C35">
        <f>SUMIF('3_Reconciliation'!D:D,"Jan-2024",'3_Reconciliation'!F:F)</f>
        <v>1387014.5200000005</v>
      </c>
      <c r="D35">
        <f t="shared" ref="D35:D40" si="4">B35-C35</f>
        <v>59890.409999999683</v>
      </c>
      <c r="E35" s="24">
        <f t="shared" ref="E35:E40" si="5">D35/B35</f>
        <v>4.1392083721768558E-2</v>
      </c>
    </row>
    <row r="36" spans="1:5">
      <c r="A36" s="15" t="s">
        <v>109</v>
      </c>
      <c r="B36">
        <f>SUMIF('3_Reconciliation'!D:D,"Feb-2024",'3_Reconciliation'!E:E)</f>
        <v>677838.87999999989</v>
      </c>
      <c r="C36">
        <f>SUMIF('3_Reconciliation'!D:D,"Feb-2024",'3_Reconciliation'!F:F)</f>
        <v>672096.98</v>
      </c>
      <c r="D36">
        <f t="shared" si="4"/>
        <v>5741.8999999999069</v>
      </c>
      <c r="E36" s="24">
        <f t="shared" si="5"/>
        <v>8.4708920798404301E-3</v>
      </c>
    </row>
    <row r="37" spans="1:5">
      <c r="A37" s="15" t="s">
        <v>113</v>
      </c>
      <c r="B37">
        <f>SUMIF('3_Reconciliation'!D:D,"Mar-2024",'3_Reconciliation'!E:E)</f>
        <v>1057841.2199999997</v>
      </c>
      <c r="C37">
        <f>SUMIF('3_Reconciliation'!D:D,"Mar-2024",'3_Reconciliation'!F:F)</f>
        <v>1060637.76</v>
      </c>
      <c r="D37">
        <f t="shared" si="4"/>
        <v>-2796.5400000002701</v>
      </c>
      <c r="E37" s="24">
        <f t="shared" si="5"/>
        <v>-2.6436292584630715E-3</v>
      </c>
    </row>
    <row r="38" spans="1:5">
      <c r="A38" s="15" t="s">
        <v>114</v>
      </c>
      <c r="B38">
        <f>SUMIF('3_Reconciliation'!D:D,"Apr-2024",'3_Reconciliation'!E:E)</f>
        <v>597399.49</v>
      </c>
      <c r="C38">
        <f>SUMIF('3_Reconciliation'!D:D,"Apr-2024",'3_Reconciliation'!F:F)</f>
        <v>594400.3600000001</v>
      </c>
      <c r="D38">
        <f t="shared" si="4"/>
        <v>2999.1299999998882</v>
      </c>
      <c r="E38" s="24">
        <f t="shared" si="5"/>
        <v>5.0203089393328548E-3</v>
      </c>
    </row>
    <row r="39" spans="1:5">
      <c r="A39" s="15" t="s">
        <v>112</v>
      </c>
      <c r="B39">
        <f>SUMIF('3_Reconciliation'!D:D,"May-2024",'3_Reconciliation'!E:E)</f>
        <v>1061369.25</v>
      </c>
      <c r="C39">
        <f>SUMIF('3_Reconciliation'!D:D,"May-2024",'3_Reconciliation'!F:F)</f>
        <v>1049962.96</v>
      </c>
      <c r="D39">
        <f t="shared" si="4"/>
        <v>11406.290000000037</v>
      </c>
      <c r="E39" s="24">
        <f t="shared" si="5"/>
        <v>1.0746768855419579E-2</v>
      </c>
    </row>
    <row r="40" spans="1:5">
      <c r="A40" s="15" t="s">
        <v>118</v>
      </c>
      <c r="B40">
        <f>SUMIF('3_Reconciliation'!D:D,"Jun-2024",'3_Reconciliation'!E:E)</f>
        <v>667054.7699999999</v>
      </c>
      <c r="C40">
        <f>SUMIF('3_Reconciliation'!D:D,"Jun-2024",'3_Reconciliation'!F:F)</f>
        <v>639837.96999999986</v>
      </c>
      <c r="D40">
        <f t="shared" si="4"/>
        <v>27216.800000000047</v>
      </c>
      <c r="E40" s="24">
        <f t="shared" si="5"/>
        <v>4.0801447233485867E-2</v>
      </c>
    </row>
    <row r="41" spans="1:5">
      <c r="A41" s="15"/>
    </row>
    <row r="42" spans="1:5">
      <c r="A42" s="15"/>
    </row>
    <row r="43" spans="1:5">
      <c r="A43" s="15"/>
    </row>
    <row r="44" spans="1:5">
      <c r="A44" s="15"/>
    </row>
    <row r="45" spans="1:5">
      <c r="A45" s="15"/>
    </row>
    <row r="46" spans="1:5">
      <c r="A46" s="15"/>
    </row>
  </sheetData>
  <mergeCells count="1">
    <mergeCell ref="A1:F1"/>
  </mergeCells>
  <conditionalFormatting sqref="A5:F9">
    <cfRule type="expression" dxfId="8" priority="1">
      <formula>$B17="Review"</formula>
    </cfRule>
    <cfRule type="expression" dxfId="7" priority="2">
      <formula>$B16="Match"</formula>
    </cfRule>
  </conditionalFormatting>
  <conditionalFormatting sqref="A10:F10">
    <cfRule type="expression" dxfId="6" priority="7">
      <formula>$B21="Match"</formula>
    </cfRule>
  </conditionalFormatting>
  <conditionalFormatting sqref="A10:F11">
    <cfRule type="expression" dxfId="5" priority="6">
      <formula>#REF!="Review"</formula>
    </cfRule>
  </conditionalFormatting>
  <conditionalFormatting sqref="A11:F12">
    <cfRule type="expression" dxfId="4" priority="9">
      <formula>#REF!="Match"</formula>
    </cfRule>
  </conditionalFormatting>
  <conditionalFormatting sqref="A12:F12">
    <cfRule type="expression" dxfId="3" priority="8">
      <formula>$B24="Review"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J3" sqref="J3"/>
    </sheetView>
  </sheetViews>
  <sheetFormatPr defaultRowHeight="14.4"/>
  <cols>
    <col min="1" max="9" width="22.109375" customWidth="1"/>
  </cols>
  <sheetData>
    <row r="1" spans="1:9">
      <c r="A1" s="17" t="s">
        <v>0</v>
      </c>
      <c r="B1" s="4" t="s">
        <v>1</v>
      </c>
      <c r="C1" s="4" t="s">
        <v>2</v>
      </c>
      <c r="D1" s="4" t="s">
        <v>7</v>
      </c>
      <c r="E1" s="4" t="s">
        <v>101</v>
      </c>
      <c r="F1" s="4" t="s">
        <v>102</v>
      </c>
      <c r="G1" s="4" t="s">
        <v>106</v>
      </c>
      <c r="H1" s="23" t="s">
        <v>107</v>
      </c>
      <c r="I1" s="4" t="s">
        <v>108</v>
      </c>
    </row>
    <row r="2" spans="1:9">
      <c r="A2" s="6">
        <v>7</v>
      </c>
      <c r="B2" s="6" t="s">
        <v>87</v>
      </c>
      <c r="C2" s="6" t="s">
        <v>11</v>
      </c>
      <c r="D2" s="6" t="s">
        <v>114</v>
      </c>
      <c r="E2" s="6">
        <v>36966.959999999999</v>
      </c>
      <c r="F2" s="6">
        <v>34953.67</v>
      </c>
      <c r="G2" s="6">
        <v>-2013.2900000000011</v>
      </c>
      <c r="H2" s="31">
        <v>-5.4461876226771171E-2</v>
      </c>
      <c r="I2" s="6" t="s">
        <v>140</v>
      </c>
    </row>
    <row r="3" spans="1:9">
      <c r="A3" s="6">
        <v>8</v>
      </c>
      <c r="B3" s="6" t="s">
        <v>16</v>
      </c>
      <c r="C3" s="6" t="s">
        <v>11</v>
      </c>
      <c r="D3" s="6" t="s">
        <v>112</v>
      </c>
      <c r="E3" s="6">
        <v>67099.350000000006</v>
      </c>
      <c r="F3" s="6">
        <v>62881.26</v>
      </c>
      <c r="G3" s="6">
        <v>-4218.0900000000038</v>
      </c>
      <c r="H3" s="31">
        <v>-6.2863351135294204E-2</v>
      </c>
      <c r="I3" s="6" t="s">
        <v>140</v>
      </c>
    </row>
    <row r="4" spans="1:9">
      <c r="A4" s="6">
        <v>26</v>
      </c>
      <c r="B4" s="6" t="s">
        <v>75</v>
      </c>
      <c r="C4" s="6" t="s">
        <v>17</v>
      </c>
      <c r="D4" s="6" t="s">
        <v>112</v>
      </c>
      <c r="E4" s="6">
        <v>51906.35</v>
      </c>
      <c r="F4" s="6">
        <v>55704.39</v>
      </c>
      <c r="G4" s="6">
        <v>3798.0400000000009</v>
      </c>
      <c r="H4" s="31">
        <v>7.3171008942065879E-2</v>
      </c>
      <c r="I4" s="6" t="s">
        <v>140</v>
      </c>
    </row>
    <row r="5" spans="1:9">
      <c r="A5" s="6">
        <v>27</v>
      </c>
      <c r="B5" s="6" t="s">
        <v>87</v>
      </c>
      <c r="C5" s="6" t="s">
        <v>65</v>
      </c>
      <c r="D5" s="6" t="s">
        <v>118</v>
      </c>
      <c r="E5" s="6">
        <v>53645.86</v>
      </c>
      <c r="F5" s="6">
        <v>57920.34</v>
      </c>
      <c r="G5" s="6">
        <v>4274.4799999999959</v>
      </c>
      <c r="H5" s="31">
        <v>7.9679587576748617E-2</v>
      </c>
      <c r="I5" s="6" t="s">
        <v>140</v>
      </c>
    </row>
    <row r="6" spans="1:9">
      <c r="A6" s="6">
        <v>31</v>
      </c>
      <c r="B6" s="6" t="s">
        <v>98</v>
      </c>
      <c r="C6" s="6" t="s">
        <v>47</v>
      </c>
      <c r="D6" s="6" t="s">
        <v>112</v>
      </c>
      <c r="E6" s="6">
        <v>30089.72</v>
      </c>
      <c r="F6" s="6">
        <v>28344.3</v>
      </c>
      <c r="G6" s="6">
        <v>-1745.4200000000019</v>
      </c>
      <c r="H6" s="31">
        <v>-5.8007186507551482E-2</v>
      </c>
      <c r="I6" s="6" t="s">
        <v>140</v>
      </c>
    </row>
    <row r="7" spans="1:9">
      <c r="A7" s="6">
        <v>41</v>
      </c>
      <c r="B7" s="6" t="s">
        <v>75</v>
      </c>
      <c r="C7" s="6" t="s">
        <v>17</v>
      </c>
      <c r="D7" s="6" t="s">
        <v>113</v>
      </c>
      <c r="E7" s="6">
        <v>25626.48</v>
      </c>
      <c r="F7" s="6">
        <v>27286.23</v>
      </c>
      <c r="G7" s="6">
        <v>1659.75</v>
      </c>
      <c r="H7" s="31">
        <v>6.4766991018665065E-2</v>
      </c>
      <c r="I7" s="6" t="s">
        <v>140</v>
      </c>
    </row>
    <row r="8" spans="1:9">
      <c r="A8" s="6">
        <v>47</v>
      </c>
      <c r="B8" s="6" t="s">
        <v>87</v>
      </c>
      <c r="C8" s="6" t="s">
        <v>47</v>
      </c>
      <c r="D8" s="6" t="s">
        <v>109</v>
      </c>
      <c r="E8" s="6">
        <v>13046.99</v>
      </c>
      <c r="F8" s="6">
        <v>12304.8</v>
      </c>
      <c r="G8" s="6">
        <v>-742.19000000000051</v>
      </c>
      <c r="H8" s="31">
        <v>-5.688591774807833E-2</v>
      </c>
      <c r="I8" s="6" t="s">
        <v>140</v>
      </c>
    </row>
    <row r="9" spans="1:9">
      <c r="A9" s="6">
        <v>49</v>
      </c>
      <c r="B9" s="6" t="s">
        <v>75</v>
      </c>
      <c r="C9" s="6" t="s">
        <v>32</v>
      </c>
      <c r="D9" s="6" t="s">
        <v>113</v>
      </c>
      <c r="E9" s="6">
        <v>34063.949999999997</v>
      </c>
      <c r="F9" s="6">
        <v>31339.8</v>
      </c>
      <c r="G9" s="6">
        <v>-2724.1499999999978</v>
      </c>
      <c r="H9" s="31">
        <v>-7.9971641574156788E-2</v>
      </c>
      <c r="I9" s="6" t="s">
        <v>140</v>
      </c>
    </row>
    <row r="10" spans="1:9">
      <c r="A10" s="6">
        <v>53</v>
      </c>
      <c r="B10" s="6" t="s">
        <v>68</v>
      </c>
      <c r="C10" s="6" t="s">
        <v>65</v>
      </c>
      <c r="D10" s="6" t="s">
        <v>112</v>
      </c>
      <c r="E10" s="6">
        <v>28430.06</v>
      </c>
      <c r="F10" s="6">
        <v>26166.69</v>
      </c>
      <c r="G10" s="6">
        <v>-2263.3700000000031</v>
      </c>
      <c r="H10" s="31">
        <v>-7.9611861529662709E-2</v>
      </c>
      <c r="I10" s="6" t="s">
        <v>140</v>
      </c>
    </row>
    <row r="11" spans="1:9">
      <c r="A11" s="6">
        <v>62</v>
      </c>
      <c r="B11" s="6" t="s">
        <v>75</v>
      </c>
      <c r="C11" s="6" t="s">
        <v>65</v>
      </c>
      <c r="D11" s="6" t="s">
        <v>110</v>
      </c>
      <c r="E11" s="6">
        <v>19677.2</v>
      </c>
      <c r="F11" s="6">
        <v>18140.169999999998</v>
      </c>
      <c r="G11" s="6">
        <v>-1537.030000000002</v>
      </c>
      <c r="H11" s="31">
        <v>-7.8112231415038855E-2</v>
      </c>
      <c r="I11" s="6" t="s">
        <v>140</v>
      </c>
    </row>
    <row r="12" spans="1:9">
      <c r="A12" s="6">
        <v>65</v>
      </c>
      <c r="B12" s="6" t="s">
        <v>69</v>
      </c>
      <c r="C12" s="6" t="s">
        <v>47</v>
      </c>
      <c r="D12" s="6" t="s">
        <v>113</v>
      </c>
      <c r="E12" s="6">
        <v>79766.570000000007</v>
      </c>
      <c r="F12" s="6">
        <v>84203.41</v>
      </c>
      <c r="G12" s="6">
        <v>4436.8399999999974</v>
      </c>
      <c r="H12" s="31">
        <v>5.5622800378654823E-2</v>
      </c>
      <c r="I12" s="6" t="s">
        <v>140</v>
      </c>
    </row>
    <row r="13" spans="1:9">
      <c r="A13" s="6">
        <v>69</v>
      </c>
      <c r="B13" s="6" t="s">
        <v>75</v>
      </c>
      <c r="C13" s="6" t="s">
        <v>91</v>
      </c>
      <c r="D13" s="6" t="s">
        <v>110</v>
      </c>
      <c r="E13" s="6">
        <v>71973.22</v>
      </c>
      <c r="F13" s="6">
        <v>76704.44</v>
      </c>
      <c r="G13" s="6">
        <v>4731.2200000000012</v>
      </c>
      <c r="H13" s="31">
        <v>6.573583896899432E-2</v>
      </c>
      <c r="I13" s="6" t="s">
        <v>140</v>
      </c>
    </row>
    <row r="14" spans="1:9">
      <c r="A14" s="6">
        <v>72</v>
      </c>
      <c r="B14" s="6" t="s">
        <v>98</v>
      </c>
      <c r="C14" s="6" t="s">
        <v>65</v>
      </c>
      <c r="D14" s="6" t="s">
        <v>110</v>
      </c>
      <c r="E14" s="6">
        <v>85965.15</v>
      </c>
      <c r="F14" s="6">
        <v>81027.429999999993</v>
      </c>
      <c r="G14" s="6">
        <v>-4937.7200000000012</v>
      </c>
      <c r="H14" s="31">
        <v>-5.7438624838088467E-2</v>
      </c>
      <c r="I14" s="6" t="s">
        <v>140</v>
      </c>
    </row>
    <row r="15" spans="1:9">
      <c r="A15" s="6">
        <v>79</v>
      </c>
      <c r="B15" s="6" t="s">
        <v>98</v>
      </c>
      <c r="C15" s="6" t="s">
        <v>91</v>
      </c>
      <c r="D15" s="6" t="s">
        <v>113</v>
      </c>
      <c r="E15" s="6">
        <v>62610.14</v>
      </c>
      <c r="F15" s="6">
        <v>65851.8</v>
      </c>
      <c r="G15" s="6">
        <v>3241.660000000003</v>
      </c>
      <c r="H15" s="31">
        <v>5.1775319461033052E-2</v>
      </c>
      <c r="I15" s="6" t="s">
        <v>140</v>
      </c>
    </row>
    <row r="16" spans="1:9">
      <c r="A16" s="6">
        <v>80</v>
      </c>
      <c r="B16" s="6" t="s">
        <v>80</v>
      </c>
      <c r="C16" s="6" t="s">
        <v>27</v>
      </c>
      <c r="D16" s="6" t="s">
        <v>118</v>
      </c>
      <c r="E16" s="6">
        <v>6627.06</v>
      </c>
      <c r="F16" s="6">
        <v>6224.15</v>
      </c>
      <c r="G16" s="6">
        <v>-402.91000000000082</v>
      </c>
      <c r="H16" s="31">
        <v>-6.0797699130534608E-2</v>
      </c>
      <c r="I16" s="6" t="s">
        <v>140</v>
      </c>
    </row>
    <row r="17" spans="1:9">
      <c r="A17" s="6">
        <v>91</v>
      </c>
      <c r="B17" s="6" t="s">
        <v>87</v>
      </c>
      <c r="C17" s="6" t="s">
        <v>32</v>
      </c>
      <c r="D17" s="6" t="s">
        <v>110</v>
      </c>
      <c r="E17" s="6">
        <v>98332.76</v>
      </c>
      <c r="F17" s="6">
        <v>103943.6</v>
      </c>
      <c r="G17" s="6">
        <v>5610.8400000000111</v>
      </c>
      <c r="H17" s="31">
        <v>5.7059722517704289E-2</v>
      </c>
      <c r="I17" s="6" t="s">
        <v>140</v>
      </c>
    </row>
    <row r="18" spans="1:9">
      <c r="A18" s="6">
        <v>97</v>
      </c>
      <c r="B18" s="6" t="s">
        <v>87</v>
      </c>
      <c r="C18" s="6" t="s">
        <v>27</v>
      </c>
      <c r="D18" s="6" t="s">
        <v>112</v>
      </c>
      <c r="E18" s="6">
        <v>58777.98</v>
      </c>
      <c r="F18" s="6">
        <v>54459.25</v>
      </c>
      <c r="G18" s="6">
        <v>-4318.7300000000032</v>
      </c>
      <c r="H18" s="31">
        <v>-7.3475304867571201E-2</v>
      </c>
      <c r="I18" s="6" t="s">
        <v>140</v>
      </c>
    </row>
  </sheetData>
  <conditionalFormatting sqref="A2:I18">
    <cfRule type="expression" dxfId="2" priority="1">
      <formula>$I2="Escalate"</formula>
    </cfRule>
    <cfRule type="expression" dxfId="1" priority="2">
      <formula>$I2="Review"</formula>
    </cfRule>
    <cfRule type="expression" dxfId="0" priority="3">
      <formula>$I2="Match"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I18" sqref="I18"/>
    </sheetView>
  </sheetViews>
  <sheetFormatPr defaultRowHeight="14.4"/>
  <cols>
    <col min="2" max="2" width="11.5546875" bestFit="1" customWidth="1"/>
    <col min="3" max="3" width="11.6640625" bestFit="1" customWidth="1"/>
  </cols>
  <sheetData>
    <row r="1" spans="1:3">
      <c r="A1" t="s">
        <v>7</v>
      </c>
      <c r="B1" t="s">
        <v>143</v>
      </c>
      <c r="C1" t="s">
        <v>144</v>
      </c>
    </row>
    <row r="2" spans="1:3">
      <c r="A2" s="15" t="s">
        <v>110</v>
      </c>
      <c r="B2">
        <v>0.85709999999999997</v>
      </c>
      <c r="C2">
        <v>1</v>
      </c>
    </row>
    <row r="3" spans="1:3">
      <c r="A3" s="15" t="s">
        <v>109</v>
      </c>
      <c r="B3">
        <v>0.85370000000000001</v>
      </c>
      <c r="C3">
        <v>1</v>
      </c>
    </row>
    <row r="4" spans="1:3">
      <c r="A4" s="15" t="s">
        <v>113</v>
      </c>
      <c r="B4">
        <v>0.85650000000000004</v>
      </c>
      <c r="C4">
        <v>1</v>
      </c>
    </row>
    <row r="5" spans="1:3">
      <c r="A5" s="15" t="s">
        <v>114</v>
      </c>
      <c r="B5">
        <v>0.86009999999999998</v>
      </c>
      <c r="C5">
        <v>1</v>
      </c>
    </row>
    <row r="6" spans="1:3">
      <c r="A6" s="15" t="s">
        <v>112</v>
      </c>
      <c r="B6">
        <v>0.85329999999999995</v>
      </c>
      <c r="C6">
        <v>1</v>
      </c>
    </row>
    <row r="7" spans="1:3">
      <c r="A7" s="15" t="s">
        <v>118</v>
      </c>
      <c r="B7">
        <v>0.84399999999999997</v>
      </c>
      <c r="C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B19" sqref="B19"/>
    </sheetView>
  </sheetViews>
  <sheetFormatPr defaultRowHeight="14.4"/>
  <cols>
    <col min="1" max="1" width="18" customWidth="1"/>
    <col min="2" max="2" width="23.77734375" customWidth="1"/>
    <col min="3" max="3" width="13" customWidth="1"/>
    <col min="4" max="4" width="14.77734375" style="15" customWidth="1"/>
    <col min="5" max="6" width="13.21875" bestFit="1" customWidth="1"/>
  </cols>
  <sheetData>
    <row r="1" spans="1:6">
      <c r="A1" s="14" t="s">
        <v>10</v>
      </c>
      <c r="B1" s="14" t="s">
        <v>16</v>
      </c>
      <c r="C1" s="15" t="s">
        <v>14</v>
      </c>
      <c r="D1" s="15" t="s">
        <v>109</v>
      </c>
      <c r="E1" t="s">
        <v>57</v>
      </c>
      <c r="F1" t="s">
        <v>78</v>
      </c>
    </row>
    <row r="2" spans="1:6">
      <c r="A2" s="14" t="s">
        <v>145</v>
      </c>
      <c r="B2" s="14" t="s">
        <v>16</v>
      </c>
      <c r="C2" s="15" t="s">
        <v>34</v>
      </c>
      <c r="D2" s="15" t="s">
        <v>110</v>
      </c>
      <c r="E2" t="s">
        <v>38</v>
      </c>
      <c r="F2" t="s">
        <v>43</v>
      </c>
    </row>
    <row r="3" spans="1:6">
      <c r="A3" s="14" t="s">
        <v>146</v>
      </c>
      <c r="B3" s="14" t="s">
        <v>69</v>
      </c>
      <c r="C3" s="15" t="s">
        <v>23</v>
      </c>
      <c r="D3" s="15" t="s">
        <v>109</v>
      </c>
      <c r="E3" t="s">
        <v>147</v>
      </c>
      <c r="F3" t="s">
        <v>53</v>
      </c>
    </row>
    <row r="4" spans="1:6">
      <c r="A4" s="14" t="s">
        <v>148</v>
      </c>
      <c r="B4" s="14" t="s">
        <v>69</v>
      </c>
      <c r="C4" s="15" t="s">
        <v>61</v>
      </c>
      <c r="D4" s="15" t="s">
        <v>113</v>
      </c>
      <c r="E4" t="s">
        <v>15</v>
      </c>
      <c r="F4" t="s">
        <v>52</v>
      </c>
    </row>
    <row r="5" spans="1:6">
      <c r="A5" s="14" t="s">
        <v>149</v>
      </c>
      <c r="B5" s="14" t="s">
        <v>69</v>
      </c>
      <c r="C5" s="15" t="s">
        <v>42</v>
      </c>
      <c r="D5" s="15" t="s">
        <v>114</v>
      </c>
      <c r="E5" t="s">
        <v>150</v>
      </c>
      <c r="F5" t="s">
        <v>81</v>
      </c>
    </row>
    <row r="6" spans="1:6">
      <c r="A6" s="14" t="s">
        <v>151</v>
      </c>
      <c r="B6" s="14" t="s">
        <v>87</v>
      </c>
      <c r="C6" s="15" t="s">
        <v>90</v>
      </c>
      <c r="D6" s="15" t="s">
        <v>112</v>
      </c>
    </row>
    <row r="7" spans="1:6">
      <c r="A7" s="14" t="s">
        <v>152</v>
      </c>
      <c r="B7" s="14" t="s">
        <v>87</v>
      </c>
      <c r="C7" s="15" t="s">
        <v>67</v>
      </c>
      <c r="D7" s="15" t="s">
        <v>118</v>
      </c>
    </row>
    <row r="8" spans="1:6">
      <c r="A8" s="14" t="s">
        <v>153</v>
      </c>
      <c r="B8" s="14" t="s">
        <v>87</v>
      </c>
      <c r="C8" s="15" t="s">
        <v>97</v>
      </c>
      <c r="D8" s="15" t="s">
        <v>114</v>
      </c>
    </row>
    <row r="9" spans="1:6">
      <c r="A9" s="14" t="s">
        <v>77</v>
      </c>
      <c r="B9" s="14" t="s">
        <v>75</v>
      </c>
      <c r="C9" s="15" t="s">
        <v>49</v>
      </c>
      <c r="D9" s="15" t="s">
        <v>114</v>
      </c>
    </row>
    <row r="10" spans="1:6">
      <c r="A10" s="14" t="s">
        <v>31</v>
      </c>
      <c r="B10" s="14" t="s">
        <v>80</v>
      </c>
      <c r="C10" s="15" t="s">
        <v>56</v>
      </c>
      <c r="D10" s="15" t="s">
        <v>109</v>
      </c>
    </row>
    <row r="11" spans="1:6">
      <c r="A11" s="14" t="s">
        <v>154</v>
      </c>
      <c r="B11" s="14" t="s">
        <v>80</v>
      </c>
      <c r="C11" s="15" t="s">
        <v>19</v>
      </c>
      <c r="D11" s="15" t="s">
        <v>110</v>
      </c>
    </row>
    <row r="12" spans="1:6">
      <c r="A12" s="14" t="s">
        <v>155</v>
      </c>
      <c r="B12" s="14" t="s">
        <v>68</v>
      </c>
      <c r="C12" s="15" t="s">
        <v>70</v>
      </c>
      <c r="D12" s="15" t="s">
        <v>110</v>
      </c>
    </row>
    <row r="13" spans="1:6">
      <c r="A13" s="14" t="s">
        <v>156</v>
      </c>
      <c r="B13" s="14" t="s">
        <v>68</v>
      </c>
      <c r="C13" s="15" t="s">
        <v>79</v>
      </c>
      <c r="D13" s="15" t="s">
        <v>118</v>
      </c>
    </row>
    <row r="14" spans="1:6">
      <c r="A14" s="14" t="s">
        <v>86</v>
      </c>
      <c r="B14" s="14" t="s">
        <v>68</v>
      </c>
      <c r="C14" s="15" t="s">
        <v>94</v>
      </c>
      <c r="D14" s="15" t="s">
        <v>118</v>
      </c>
    </row>
    <row r="15" spans="1:6">
      <c r="A15" s="14" t="s">
        <v>157</v>
      </c>
      <c r="B15" s="14" t="s">
        <v>98</v>
      </c>
      <c r="C15" s="15" t="s">
        <v>72</v>
      </c>
      <c r="D15" s="15" t="s">
        <v>113</v>
      </c>
    </row>
    <row r="16" spans="1:6">
      <c r="A16" s="14" t="s">
        <v>158</v>
      </c>
      <c r="B16" s="14" t="s">
        <v>98</v>
      </c>
      <c r="C16" s="15" t="s">
        <v>37</v>
      </c>
      <c r="D16" s="15" t="s">
        <v>113</v>
      </c>
    </row>
    <row r="17" spans="1:4">
      <c r="A17" s="14" t="s">
        <v>159</v>
      </c>
      <c r="B17" s="14" t="s">
        <v>98</v>
      </c>
      <c r="C17" s="15" t="s">
        <v>83</v>
      </c>
      <c r="D17" s="15" t="s">
        <v>112</v>
      </c>
    </row>
    <row r="18" spans="1:4">
      <c r="A18" s="14" t="s">
        <v>75</v>
      </c>
      <c r="B18" s="14" t="s">
        <v>75</v>
      </c>
      <c r="C18" s="15" t="s">
        <v>29</v>
      </c>
      <c r="D18" s="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1_Raw_Data</vt:lpstr>
      <vt:lpstr>2_Cleaned_Data</vt:lpstr>
      <vt:lpstr>3_Reconciliation</vt:lpstr>
      <vt:lpstr>4_Summary_Dashboard</vt:lpstr>
      <vt:lpstr>5_Escalation_Log</vt:lpstr>
      <vt:lpstr>FX_Rates</vt:lpstr>
      <vt:lpstr>LookupSheet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Mahanoor Shams</cp:lastModifiedBy>
  <dcterms:created xsi:type="dcterms:W3CDTF">2026-05-01T17:59:06Z</dcterms:created>
  <dcterms:modified xsi:type="dcterms:W3CDTF">2026-05-11T11:17:29Z</dcterms:modified>
</cp:coreProperties>
</file>